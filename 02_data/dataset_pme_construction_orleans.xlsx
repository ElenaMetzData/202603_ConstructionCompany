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TheFreelanceWay\Cas pratiques\202603_ConstructionCompany\02_data\"/>
    </mc:Choice>
  </mc:AlternateContent>
  <xr:revisionPtr revIDLastSave="0" documentId="11_C6C5DB3555354E581184B1027E8D38CF5582F8F6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ynthese" sheetId="1" r:id="rId1"/>
    <sheet name="Chantiers" sheetId="2" r:id="rId2"/>
    <sheet name="Couts" sheetId="3" r:id="rId3"/>
    <sheet name="Factures" sheetId="4" r:id="rId4"/>
    <sheet name="Dictionnaire" sheetId="5" r:id="rId5"/>
  </sheets>
  <definedNames>
    <definedName name="_xlnm._FilterDatabase" localSheetId="3" hidden="1">Factures!$A$1:$J$273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3" i="4" l="1"/>
  <c r="H273" i="4"/>
  <c r="J273" i="4" s="1"/>
  <c r="G273" i="4"/>
  <c r="I272" i="4"/>
  <c r="H272" i="4"/>
  <c r="J272" i="4" s="1"/>
  <c r="G272" i="4"/>
  <c r="I271" i="4"/>
  <c r="H271" i="4"/>
  <c r="J271" i="4" s="1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J262" i="4"/>
  <c r="I262" i="4"/>
  <c r="H262" i="4"/>
  <c r="G262" i="4"/>
  <c r="J261" i="4"/>
  <c r="I261" i="4"/>
  <c r="H261" i="4"/>
  <c r="G261" i="4"/>
  <c r="J260" i="4"/>
  <c r="I260" i="4"/>
  <c r="H260" i="4"/>
  <c r="G260" i="4"/>
  <c r="J259" i="4"/>
  <c r="I259" i="4"/>
  <c r="H259" i="4"/>
  <c r="G259" i="4"/>
  <c r="J258" i="4"/>
  <c r="I258" i="4"/>
  <c r="H258" i="4"/>
  <c r="G258" i="4"/>
  <c r="J257" i="4"/>
  <c r="I257" i="4"/>
  <c r="H257" i="4"/>
  <c r="G257" i="4"/>
  <c r="J256" i="4"/>
  <c r="I256" i="4"/>
  <c r="H256" i="4"/>
  <c r="G256" i="4"/>
  <c r="J255" i="4"/>
  <c r="I255" i="4"/>
  <c r="H255" i="4"/>
  <c r="G255" i="4"/>
  <c r="J254" i="4"/>
  <c r="I254" i="4"/>
  <c r="H254" i="4"/>
  <c r="G254" i="4"/>
  <c r="J253" i="4"/>
  <c r="I253" i="4"/>
  <c r="H253" i="4"/>
  <c r="G253" i="4"/>
  <c r="J252" i="4"/>
  <c r="I252" i="4"/>
  <c r="H252" i="4"/>
  <c r="G252" i="4"/>
  <c r="J251" i="4"/>
  <c r="I251" i="4"/>
  <c r="H251" i="4"/>
  <c r="G251" i="4"/>
  <c r="J250" i="4"/>
  <c r="I250" i="4"/>
  <c r="H250" i="4"/>
  <c r="G250" i="4"/>
  <c r="J249" i="4"/>
  <c r="I249" i="4"/>
  <c r="H249" i="4"/>
  <c r="G249" i="4"/>
  <c r="J248" i="4"/>
  <c r="I248" i="4"/>
  <c r="H248" i="4"/>
  <c r="G248" i="4"/>
  <c r="J247" i="4"/>
  <c r="I247" i="4"/>
  <c r="H247" i="4"/>
  <c r="G247" i="4"/>
  <c r="J246" i="4"/>
  <c r="I246" i="4"/>
  <c r="H246" i="4"/>
  <c r="G246" i="4"/>
  <c r="J245" i="4"/>
  <c r="I245" i="4"/>
  <c r="H245" i="4"/>
  <c r="G245" i="4"/>
  <c r="J244" i="4"/>
  <c r="I244" i="4"/>
  <c r="H244" i="4"/>
  <c r="G244" i="4"/>
  <c r="J243" i="4"/>
  <c r="I243" i="4"/>
  <c r="H243" i="4"/>
  <c r="G243" i="4"/>
  <c r="J242" i="4"/>
  <c r="I242" i="4"/>
  <c r="H242" i="4"/>
  <c r="G242" i="4"/>
  <c r="J241" i="4"/>
  <c r="I241" i="4"/>
  <c r="H241" i="4"/>
  <c r="G241" i="4"/>
  <c r="J240" i="4"/>
  <c r="I240" i="4"/>
  <c r="H240" i="4"/>
  <c r="G240" i="4"/>
  <c r="J239" i="4"/>
  <c r="I239" i="4"/>
  <c r="H239" i="4"/>
  <c r="G239" i="4"/>
  <c r="J238" i="4"/>
  <c r="I238" i="4"/>
  <c r="H238" i="4"/>
  <c r="G238" i="4"/>
  <c r="J237" i="4"/>
  <c r="I237" i="4"/>
  <c r="H237" i="4"/>
  <c r="G237" i="4"/>
  <c r="J236" i="4"/>
  <c r="I236" i="4"/>
  <c r="H236" i="4"/>
  <c r="G236" i="4"/>
  <c r="J235" i="4"/>
  <c r="I235" i="4"/>
  <c r="H235" i="4"/>
  <c r="G235" i="4"/>
  <c r="J234" i="4"/>
  <c r="I234" i="4"/>
  <c r="H234" i="4"/>
  <c r="G234" i="4"/>
  <c r="J233" i="4"/>
  <c r="I233" i="4"/>
  <c r="H233" i="4"/>
  <c r="G233" i="4"/>
  <c r="J232" i="4"/>
  <c r="I232" i="4"/>
  <c r="H232" i="4"/>
  <c r="G232" i="4"/>
  <c r="J231" i="4"/>
  <c r="I231" i="4"/>
  <c r="H231" i="4"/>
  <c r="G231" i="4"/>
  <c r="J230" i="4"/>
  <c r="I230" i="4"/>
  <c r="H230" i="4"/>
  <c r="G230" i="4"/>
  <c r="J229" i="4"/>
  <c r="I229" i="4"/>
  <c r="H229" i="4"/>
  <c r="G229" i="4"/>
  <c r="J228" i="4"/>
  <c r="I228" i="4"/>
  <c r="H228" i="4"/>
  <c r="G228" i="4"/>
  <c r="J227" i="4"/>
  <c r="I227" i="4"/>
  <c r="H227" i="4"/>
  <c r="G227" i="4"/>
  <c r="J226" i="4"/>
  <c r="I226" i="4"/>
  <c r="H226" i="4"/>
  <c r="G226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7" i="4"/>
  <c r="I207" i="4"/>
  <c r="H207" i="4"/>
  <c r="G207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9" i="4"/>
  <c r="I189" i="4"/>
  <c r="H189" i="4"/>
  <c r="G189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9" i="4"/>
  <c r="I159" i="4"/>
  <c r="H159" i="4"/>
  <c r="G159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6" i="4"/>
  <c r="I136" i="4"/>
  <c r="H136" i="4"/>
  <c r="G136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1" i="4"/>
  <c r="I121" i="4"/>
  <c r="H121" i="4"/>
  <c r="G121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1" i="4"/>
  <c r="I111" i="4"/>
  <c r="H111" i="4"/>
  <c r="G111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7" i="4"/>
  <c r="I87" i="4"/>
  <c r="H87" i="4"/>
  <c r="G87" i="4"/>
  <c r="J86" i="4"/>
  <c r="I86" i="4"/>
  <c r="H86" i="4"/>
  <c r="G86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8" i="4"/>
  <c r="I78" i="4"/>
  <c r="H78" i="4"/>
  <c r="G78" i="4"/>
  <c r="J77" i="4"/>
  <c r="I77" i="4"/>
  <c r="H77" i="4"/>
  <c r="G77" i="4"/>
  <c r="J76" i="4"/>
  <c r="I76" i="4"/>
  <c r="H76" i="4"/>
  <c r="G76" i="4"/>
  <c r="J75" i="4"/>
  <c r="I75" i="4"/>
  <c r="H75" i="4"/>
  <c r="G75" i="4"/>
  <c r="J74" i="4"/>
  <c r="I74" i="4"/>
  <c r="H74" i="4"/>
  <c r="G74" i="4"/>
  <c r="J73" i="4"/>
  <c r="I73" i="4"/>
  <c r="H73" i="4"/>
  <c r="G73" i="4"/>
  <c r="J72" i="4"/>
  <c r="I72" i="4"/>
  <c r="H72" i="4"/>
  <c r="G72" i="4"/>
  <c r="J71" i="4"/>
  <c r="I71" i="4"/>
  <c r="H71" i="4"/>
  <c r="G71" i="4"/>
  <c r="J70" i="4"/>
  <c r="I70" i="4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2" i="4"/>
  <c r="I62" i="4"/>
  <c r="H62" i="4"/>
  <c r="G62" i="4"/>
  <c r="J61" i="4"/>
  <c r="I61" i="4"/>
  <c r="H61" i="4"/>
  <c r="G61" i="4"/>
  <c r="J60" i="4"/>
  <c r="I60" i="4"/>
  <c r="H60" i="4"/>
  <c r="G60" i="4"/>
  <c r="J59" i="4"/>
  <c r="I59" i="4"/>
  <c r="H59" i="4"/>
  <c r="G59" i="4"/>
  <c r="J58" i="4"/>
  <c r="I58" i="4"/>
  <c r="H58" i="4"/>
  <c r="G58" i="4"/>
  <c r="J57" i="4"/>
  <c r="I57" i="4"/>
  <c r="H57" i="4"/>
  <c r="G57" i="4"/>
  <c r="J56" i="4"/>
  <c r="I56" i="4"/>
  <c r="H56" i="4"/>
  <c r="G56" i="4"/>
  <c r="J55" i="4"/>
  <c r="I55" i="4"/>
  <c r="H55" i="4"/>
  <c r="G55" i="4"/>
  <c r="J54" i="4"/>
  <c r="I54" i="4"/>
  <c r="H54" i="4"/>
  <c r="G54" i="4"/>
  <c r="J53" i="4"/>
  <c r="I53" i="4"/>
  <c r="H53" i="4"/>
  <c r="G53" i="4"/>
  <c r="J52" i="4"/>
  <c r="I52" i="4"/>
  <c r="H52" i="4"/>
  <c r="G52" i="4"/>
  <c r="J51" i="4"/>
  <c r="I51" i="4"/>
  <c r="H51" i="4"/>
  <c r="G51" i="4"/>
  <c r="J50" i="4"/>
  <c r="I50" i="4"/>
  <c r="H50" i="4"/>
  <c r="G50" i="4"/>
  <c r="J49" i="4"/>
  <c r="I49" i="4"/>
  <c r="H49" i="4"/>
  <c r="G49" i="4"/>
  <c r="J48" i="4"/>
  <c r="I48" i="4"/>
  <c r="H48" i="4"/>
  <c r="G48" i="4"/>
  <c r="J47" i="4"/>
  <c r="I47" i="4"/>
  <c r="H47" i="4"/>
  <c r="G47" i="4"/>
  <c r="J46" i="4"/>
  <c r="I46" i="4"/>
  <c r="H46" i="4"/>
  <c r="G46" i="4"/>
  <c r="J45" i="4"/>
  <c r="I45" i="4"/>
  <c r="H45" i="4"/>
  <c r="G45" i="4"/>
  <c r="J44" i="4"/>
  <c r="I44" i="4"/>
  <c r="H44" i="4"/>
  <c r="G44" i="4"/>
  <c r="J43" i="4"/>
  <c r="I43" i="4"/>
  <c r="H43" i="4"/>
  <c r="G43" i="4"/>
  <c r="J42" i="4"/>
  <c r="I42" i="4"/>
  <c r="H42" i="4"/>
  <c r="G42" i="4"/>
  <c r="J41" i="4"/>
  <c r="I41" i="4"/>
  <c r="H41" i="4"/>
  <c r="G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G32" i="4"/>
  <c r="J31" i="4"/>
  <c r="I31" i="4"/>
  <c r="H31" i="4"/>
  <c r="G31" i="4"/>
  <c r="J30" i="4"/>
  <c r="I30" i="4"/>
  <c r="H30" i="4"/>
  <c r="G30" i="4"/>
  <c r="J29" i="4"/>
  <c r="I29" i="4"/>
  <c r="H29" i="4"/>
  <c r="G29" i="4"/>
  <c r="J28" i="4"/>
  <c r="I28" i="4"/>
  <c r="H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J2" i="4"/>
  <c r="I2" i="4"/>
  <c r="H2" i="4"/>
  <c r="B22" i="1" s="1"/>
  <c r="G2" i="4"/>
  <c r="B21" i="1"/>
  <c r="B20" i="1"/>
  <c r="D13" i="1"/>
  <c r="C13" i="1"/>
  <c r="B13" i="1"/>
  <c r="D12" i="1"/>
  <c r="C12" i="1"/>
  <c r="B12" i="1"/>
  <c r="D11" i="1"/>
  <c r="C11" i="1"/>
  <c r="B11" i="1"/>
  <c r="D10" i="1"/>
  <c r="D14" i="1" s="1"/>
  <c r="D15" i="1" s="1"/>
  <c r="C10" i="1"/>
  <c r="C14" i="1" s="1"/>
  <c r="C15" i="1" s="1"/>
  <c r="B10" i="1"/>
  <c r="B14" i="1" s="1"/>
  <c r="B15" i="1" s="1"/>
  <c r="B23" i="1" l="1"/>
</calcChain>
</file>

<file path=xl/sharedStrings.xml><?xml version="1.0" encoding="utf-8"?>
<sst xmlns="http://schemas.openxmlformats.org/spreadsheetml/2006/main" count="3344" uniqueCount="1348">
  <si>
    <t>Entreprise de construction – base Orléans – croissance non maîtrisée</t>
  </si>
  <si>
    <t>Date d'analyse</t>
  </si>
  <si>
    <t>Périmètre de génération</t>
  </si>
  <si>
    <t>01/01/2023 au 31/12/2025</t>
  </si>
  <si>
    <t>Volumétrie</t>
  </si>
  <si>
    <t>80 chantiers | 272 factures | 694 lignes de coûts</t>
  </si>
  <si>
    <t>Scénario</t>
  </si>
  <si>
    <t>CA en hausse, marge EBE en dégradation, coûts cachés plus visibles en 2025</t>
  </si>
  <si>
    <t>Cascade EBE par année</t>
  </si>
  <si>
    <t>Indicateur</t>
  </si>
  <si>
    <t>CA chantiers HT</t>
  </si>
  <si>
    <t>Achats consommés</t>
  </si>
  <si>
    <t>Charges externes</t>
  </si>
  <si>
    <t>Charges de personnel</t>
  </si>
  <si>
    <t>EBE</t>
  </si>
  <si>
    <t>Marge EBE %</t>
  </si>
  <si>
    <t>Cash &amp; recouvrement</t>
  </si>
  <si>
    <t>Valeur</t>
  </si>
  <si>
    <t>Lecture</t>
  </si>
  <si>
    <t>Montant encaissé au 23/03/2026</t>
  </si>
  <si>
    <t>Cash réellement entré</t>
  </si>
  <si>
    <t>Encours client au 23/03/2026</t>
  </si>
  <si>
    <t>Facturé non encaissé</t>
  </si>
  <si>
    <t>Factures en retard</t>
  </si>
  <si>
    <t>Base de relance</t>
  </si>
  <si>
    <t>Montant en retard</t>
  </si>
  <si>
    <t>Impayés exigibles</t>
  </si>
  <si>
    <t>Points à raconter dans le case study</t>
  </si>
  <si>
    <t>• La croissance du CA est portée par davantage de chantiers et des chantiers plus gros en 2025.</t>
  </si>
  <si>
    <t>• Les charges externes et les coûts de personnel progressent plus vite que le CA.</t>
  </si>
  <si>
    <t>• Les collectivités et promoteurs montrent des délais de paiement plus longs.</t>
  </si>
  <si>
    <t>• Les coûts sont ventilés dans des lignes séparées : les fichiers Excel distincts masquent la dérive globale.</t>
  </si>
  <si>
    <t>chantier_id</t>
  </si>
  <si>
    <t>nom_chantier</t>
  </si>
  <si>
    <t>client</t>
  </si>
  <si>
    <t>type_client</t>
  </si>
  <si>
    <t>type_travaux</t>
  </si>
  <si>
    <t>code_postal</t>
  </si>
  <si>
    <t>ville</t>
  </si>
  <si>
    <t>date_debut</t>
  </si>
  <si>
    <t>date_fin_prevue</t>
  </si>
  <si>
    <t>date_fin_reelle</t>
  </si>
  <si>
    <t>ca_prevu_ht</t>
  </si>
  <si>
    <t>ca_facture_ht</t>
  </si>
  <si>
    <t>annee_debut</t>
  </si>
  <si>
    <t>CH-2023-001</t>
  </si>
  <si>
    <t>Dallage aire PL - La Chapelle-Saint-Mesmin</t>
  </si>
  <si>
    <t>Commune des Trois Ponts</t>
  </si>
  <si>
    <t>Collectivité</t>
  </si>
  <si>
    <t>Pavage / dallage</t>
  </si>
  <si>
    <t>45380</t>
  </si>
  <si>
    <t>La Chapelle-Saint-Mesmin</t>
  </si>
  <si>
    <t>CH-2023-002</t>
  </si>
  <si>
    <t>Dépôt structure - Orléans</t>
  </si>
  <si>
    <t>Feronex Centre</t>
  </si>
  <si>
    <t>Entreprise</t>
  </si>
  <si>
    <t>Gros œuvre</t>
  </si>
  <si>
    <t>45000</t>
  </si>
  <si>
    <t>Orléans</t>
  </si>
  <si>
    <t>CH-2023-003</t>
  </si>
  <si>
    <t>Résidence chantier - Orléans</t>
  </si>
  <si>
    <t>Promovia Terrains</t>
  </si>
  <si>
    <t>Promoteur</t>
  </si>
  <si>
    <t>Ravalement</t>
  </si>
  <si>
    <t>CH-2023-004</t>
  </si>
  <si>
    <t>Extension structure - Fleury-les-Aubrais</t>
  </si>
  <si>
    <t>Habitat Loire</t>
  </si>
  <si>
    <t>Bailleur social</t>
  </si>
  <si>
    <t>45400</t>
  </si>
  <si>
    <t>Fleury-les-Aubrais</t>
  </si>
  <si>
    <t>CH-2023-005</t>
  </si>
  <si>
    <t>Annexe chantier - Saint-Jean-de-la-Ruelle</t>
  </si>
  <si>
    <t>Coriance Val de Loire</t>
  </si>
  <si>
    <t>Maçonnerie</t>
  </si>
  <si>
    <t>45140</t>
  </si>
  <si>
    <t>Saint-Jean-de-la-Ruelle</t>
  </si>
  <si>
    <t>CH-2023-006</t>
  </si>
  <si>
    <t>Plateforme structure - Saran</t>
  </si>
  <si>
    <t>Carrévia Développement</t>
  </si>
  <si>
    <t>45770</t>
  </si>
  <si>
    <t>Saran</t>
  </si>
  <si>
    <t>CH-2023-007</t>
  </si>
  <si>
    <t>Démolition chantier - Fleury-les-Aubrais</t>
  </si>
  <si>
    <t>Ville Loire Sud</t>
  </si>
  <si>
    <t>Démolition / curage</t>
  </si>
  <si>
    <t>CH-2023-008</t>
  </si>
  <si>
    <t>Dépôt structure - Olivet</t>
  </si>
  <si>
    <t>Domiref Promotion</t>
  </si>
  <si>
    <t>45160</t>
  </si>
  <si>
    <t>Olivet</t>
  </si>
  <si>
    <t>CH-2023-009</t>
  </si>
  <si>
    <t>Esplanade aire PL - Le Coudray</t>
  </si>
  <si>
    <t>Nexora Concept</t>
  </si>
  <si>
    <t>28630</t>
  </si>
  <si>
    <t>Le Coudray</t>
  </si>
  <si>
    <t>CH-2023-010</t>
  </si>
  <si>
    <t>Extension structure - Chécy</t>
  </si>
  <si>
    <t>Mécadia Services</t>
  </si>
  <si>
    <t>45430</t>
  </si>
  <si>
    <t>Chécy</t>
  </si>
  <si>
    <t>CH-2023-011</t>
  </si>
  <si>
    <t>Unité logistique - Orléans</t>
  </si>
  <si>
    <t>Coriance Logistique</t>
  </si>
  <si>
    <t>Bâtiment industriel</t>
  </si>
  <si>
    <t>CH-2023-012</t>
  </si>
  <si>
    <t>Façades chantier - Saran</t>
  </si>
  <si>
    <t>Atriumis Concept</t>
  </si>
  <si>
    <t>CH-2023-013</t>
  </si>
  <si>
    <t>Extension structure - Le Coudray</t>
  </si>
  <si>
    <t>CH-2023-014</t>
  </si>
  <si>
    <t>Accès extérieurs - Olivet</t>
  </si>
  <si>
    <t>Maison Lambert</t>
  </si>
  <si>
    <t>Particulier</t>
  </si>
  <si>
    <t>Aménagements extérieurs</t>
  </si>
  <si>
    <t>CH-2023-015</t>
  </si>
  <si>
    <t>Logisphère Centre</t>
  </si>
  <si>
    <t>CH-2023-016</t>
  </si>
  <si>
    <t>Réhabilitation site tertiaire - La Ferté-Saint-Aubin</t>
  </si>
  <si>
    <t>Ville des Trois Ponts</t>
  </si>
  <si>
    <t>Réhabilitation</t>
  </si>
  <si>
    <t>45240</t>
  </si>
  <si>
    <t>La Ferté-Saint-Aubin</t>
  </si>
  <si>
    <t>CH-2023-017</t>
  </si>
  <si>
    <t>Annexe chantier - Orléans Sud</t>
  </si>
  <si>
    <t>Logisphère Services</t>
  </si>
  <si>
    <t>45100</t>
  </si>
  <si>
    <t>Orléans Sud</t>
  </si>
  <si>
    <t>CH-2023-018</t>
  </si>
  <si>
    <t>Socle chantier - Meung-sur-Loire</t>
  </si>
  <si>
    <t>Vélocité Travaux</t>
  </si>
  <si>
    <t>Fondations</t>
  </si>
  <si>
    <t>45130</t>
  </si>
  <si>
    <t>Meung-sur-Loire</t>
  </si>
  <si>
    <t>CH-2024-001</t>
  </si>
  <si>
    <t>Showroom chantier - La Chapelle-Saint-Mesmin</t>
  </si>
  <si>
    <t>Vélocité Val de Loire</t>
  </si>
  <si>
    <t>Carrelage</t>
  </si>
  <si>
    <t>CH-2024-002</t>
  </si>
  <si>
    <t>Atelier structure - Ingré</t>
  </si>
  <si>
    <t>Habitat Métropole</t>
  </si>
  <si>
    <t>Ingré</t>
  </si>
  <si>
    <t>CH-2024-003</t>
  </si>
  <si>
    <t>Locaux chantier - Saran</t>
  </si>
  <si>
    <t>Patrimoine Métropole</t>
  </si>
  <si>
    <t>CH-2024-004</t>
  </si>
  <si>
    <t>Réhabilitation bâtiment administratif - La Chapelle-Saint-Mesmin</t>
  </si>
  <si>
    <t>CH-2024-005</t>
  </si>
  <si>
    <t>Hall logistique - Orléans</t>
  </si>
  <si>
    <t>Habitat Centrale</t>
  </si>
  <si>
    <t>CH-2024-006</t>
  </si>
  <si>
    <t>Locaux chantier - Meung-sur-Loire</t>
  </si>
  <si>
    <t>Logement Horizon</t>
  </si>
  <si>
    <t>CH-2024-007</t>
  </si>
  <si>
    <t>Hangar logistique - Orléans</t>
  </si>
  <si>
    <t>Pôle public des Rives</t>
  </si>
  <si>
    <t>CH-2024-008</t>
  </si>
  <si>
    <t>Façade chantier - Saran</t>
  </si>
  <si>
    <t>Mécadia Industrie</t>
  </si>
  <si>
    <t>CH-2024-009</t>
  </si>
  <si>
    <t>Rénovation bâtiment administratif - Saint-Jean-de-la-Ruelle</t>
  </si>
  <si>
    <t>Propriété Garnier</t>
  </si>
  <si>
    <t>CH-2024-010</t>
  </si>
  <si>
    <t>Atelier structure - Saran</t>
  </si>
  <si>
    <t>Nordexia Logistique</t>
  </si>
  <si>
    <t>CH-2024-011</t>
  </si>
  <si>
    <t>Curage chantier - Olivet</t>
  </si>
  <si>
    <t>SCI Martin</t>
  </si>
  <si>
    <t>CH-2024-012</t>
  </si>
  <si>
    <t>Atelier structure - Pithiviers</t>
  </si>
  <si>
    <t>Habitat Social</t>
  </si>
  <si>
    <t>45300</t>
  </si>
  <si>
    <t>Pithiviers</t>
  </si>
  <si>
    <t>CH-2024-013</t>
  </si>
  <si>
    <t>Parvis extérieurs - Saran</t>
  </si>
  <si>
    <t>Logement Loire</t>
  </si>
  <si>
    <t>CH-2024-014</t>
  </si>
  <si>
    <t>Hall logistique - La Ferté-Saint-Aubin</t>
  </si>
  <si>
    <t>Solyvia Centre</t>
  </si>
  <si>
    <t>CH-2024-015</t>
  </si>
  <si>
    <t>Hangar logistique - Saint-Jean-de-la-Ruelle</t>
  </si>
  <si>
    <t>Atriumis Logistique</t>
  </si>
  <si>
    <t>CH-2024-016</t>
  </si>
  <si>
    <t>Remise à niveau site tertiaire - Bonneval</t>
  </si>
  <si>
    <t>Orbitalis Centre</t>
  </si>
  <si>
    <t>28200</t>
  </si>
  <si>
    <t>Bonneval</t>
  </si>
  <si>
    <t>CH-2024-017</t>
  </si>
  <si>
    <t>Enveloppe chantier - Ingré</t>
  </si>
  <si>
    <t>Syndicat Loire Sud</t>
  </si>
  <si>
    <t>CH-2024-018</t>
  </si>
  <si>
    <t>Rénovation ensemble locatif - Boigny-sur-Bionne</t>
  </si>
  <si>
    <t>Famille Martin</t>
  </si>
  <si>
    <t>45760</t>
  </si>
  <si>
    <t>Boigny-sur-Bionne</t>
  </si>
  <si>
    <t>CH-2024-019</t>
  </si>
  <si>
    <t>Mécadia Concept</t>
  </si>
  <si>
    <t>CH-2024-020</t>
  </si>
  <si>
    <t>Rénovation atelier - Pithiviers</t>
  </si>
  <si>
    <t>Feronex Services</t>
  </si>
  <si>
    <t>CH-2024-021</t>
  </si>
  <si>
    <t>Plateforme logistique - Blois</t>
  </si>
  <si>
    <t>Solyvia Logistique</t>
  </si>
  <si>
    <t>41000</t>
  </si>
  <si>
    <t>Blois</t>
  </si>
  <si>
    <t>CH-2024-022</t>
  </si>
  <si>
    <t>Curage chantier - Fleury-les-Aubrais</t>
  </si>
  <si>
    <t>Urbanéa Patrimoine</t>
  </si>
  <si>
    <t>CH-2024-023</t>
  </si>
  <si>
    <t>Murs chantier - Olivet</t>
  </si>
  <si>
    <t>Commune des Aulnes</t>
  </si>
  <si>
    <t>CH-2024-024</t>
  </si>
  <si>
    <t>Sols chantier - Saran</t>
  </si>
  <si>
    <t>Vélocité Industrie</t>
  </si>
  <si>
    <t>CH-2024-025</t>
  </si>
  <si>
    <t>Façade chantier - Chécy</t>
  </si>
  <si>
    <t>Orbitalis Logistique</t>
  </si>
  <si>
    <t>CH-2024-026</t>
  </si>
  <si>
    <t>Réhabilitation bâtiment administratif - Olivet</t>
  </si>
  <si>
    <t>Syndicat des Rives</t>
  </si>
  <si>
    <t>CH-2025-001</t>
  </si>
  <si>
    <t>Altéor Terrains</t>
  </si>
  <si>
    <t>CH-2025-002</t>
  </si>
  <si>
    <t>Atelier structure - Nogent-sur-Vernisson</t>
  </si>
  <si>
    <t>Nexora Logistique</t>
  </si>
  <si>
    <t>45290</t>
  </si>
  <si>
    <t>Nogent-sur-Vernisson</t>
  </si>
  <si>
    <t>CH-2025-003</t>
  </si>
  <si>
    <t>Locaux chantier - La Ferté-Saint-Aubin</t>
  </si>
  <si>
    <t>Orbitalis Services</t>
  </si>
  <si>
    <t>CH-2025-004</t>
  </si>
  <si>
    <t>Remise à niveau atelier - Orléans</t>
  </si>
  <si>
    <t>Commune Loire Sud</t>
  </si>
  <si>
    <t>CH-2025-005</t>
  </si>
  <si>
    <t>Résidence Dubreuil</t>
  </si>
  <si>
    <t>CH-2025-006</t>
  </si>
  <si>
    <t>Accès extérieurs - Pithiviers</t>
  </si>
  <si>
    <t>Urbanéa Promotion</t>
  </si>
  <si>
    <t>CH-2025-007</t>
  </si>
  <si>
    <t>Bâtiment structure - Orléans Sud</t>
  </si>
  <si>
    <t>Promovia Patrimoine</t>
  </si>
  <si>
    <t>CH-2025-008</t>
  </si>
  <si>
    <t>Bâtiment structure - Orléans</t>
  </si>
  <si>
    <t>Promovia Développement</t>
  </si>
  <si>
    <t>CH-2025-009</t>
  </si>
  <si>
    <t>Plateforme structure - Saint-Jean-de-Braye</t>
  </si>
  <si>
    <t>Solyvia Bâtiment</t>
  </si>
  <si>
    <t>45800</t>
  </si>
  <si>
    <t>Saint-Jean-de-Braye</t>
  </si>
  <si>
    <t>CH-2025-010</t>
  </si>
  <si>
    <t>Restructuration bâtiment administratif - La Chapelle-Saint-Mesmin</t>
  </si>
  <si>
    <t>Altéor Patrimoine</t>
  </si>
  <si>
    <t>CH-2025-011</t>
  </si>
  <si>
    <t>Orbitalis Bâtiment</t>
  </si>
  <si>
    <t>CH-2025-012</t>
  </si>
  <si>
    <t>CH-2025-013</t>
  </si>
  <si>
    <t>Rénovation site tertiaire - Le Coudray</t>
  </si>
  <si>
    <t>Logisphère Bâtiment</t>
  </si>
  <si>
    <t>CH-2025-014</t>
  </si>
  <si>
    <t>Façade chantier - Meung-sur-Loire</t>
  </si>
  <si>
    <t>Résidences Loire</t>
  </si>
  <si>
    <t>CH-2025-015</t>
  </si>
  <si>
    <t>Hall logistique - Fleury-les-Aubrais</t>
  </si>
  <si>
    <t>CH-2025-016</t>
  </si>
  <si>
    <t>Atelier structure - Olivet</t>
  </si>
  <si>
    <t>Coriance Centre</t>
  </si>
  <si>
    <t>CH-2025-017</t>
  </si>
  <si>
    <t>Socle chantier - Nogent-sur-Vernisson</t>
  </si>
  <si>
    <t>Maison Leroux</t>
  </si>
  <si>
    <t>CH-2025-018</t>
  </si>
  <si>
    <t>Esplanade aire PL - Saint-Jean-de-la-Ruelle</t>
  </si>
  <si>
    <t>Nordexia Centre</t>
  </si>
  <si>
    <t>CH-2025-019</t>
  </si>
  <si>
    <t>Vestiaires chantier - Saran</t>
  </si>
  <si>
    <t>Famille Lambert</t>
  </si>
  <si>
    <t>CH-2025-020</t>
  </si>
  <si>
    <t>Restructuration site tertiaire - Orléans Sud</t>
  </si>
  <si>
    <t>CH-2025-021</t>
  </si>
  <si>
    <t>Résidence chantier - Olivet</t>
  </si>
  <si>
    <t>CH-2025-022</t>
  </si>
  <si>
    <t>Semelles chantier - Orléans Sud</t>
  </si>
  <si>
    <t>Altéor Développement</t>
  </si>
  <si>
    <t>CH-2025-023</t>
  </si>
  <si>
    <t>Dépollution chantier - La Chapelle-Saint-Mesmin</t>
  </si>
  <si>
    <t>Habitat Horizon</t>
  </si>
  <si>
    <t>CH-2025-024</t>
  </si>
  <si>
    <t>Rénovation bâtiment administratif - Meung-sur-Loire</t>
  </si>
  <si>
    <t>Syndicat des Trois Ponts</t>
  </si>
  <si>
    <t>CH-2025-025</t>
  </si>
  <si>
    <t>Parvis extérieurs - Saint-Jean-de-Braye</t>
  </si>
  <si>
    <t>CH-2025-026</t>
  </si>
  <si>
    <t>Annexe chantier - La Chapelle-Saint-Mesmin</t>
  </si>
  <si>
    <t>CH-2025-027</t>
  </si>
  <si>
    <t>Restructuration bâtiment administratif - Ingré</t>
  </si>
  <si>
    <t>Patrimoine Horizon</t>
  </si>
  <si>
    <t>CH-2025-028</t>
  </si>
  <si>
    <t>Dépôt structure - Boigny-sur-Bionne</t>
  </si>
  <si>
    <t>CH-2025-029</t>
  </si>
  <si>
    <t>Annexe chantier - Orléans</t>
  </si>
  <si>
    <t>Nexora Bâtiment</t>
  </si>
  <si>
    <t>CH-2025-030</t>
  </si>
  <si>
    <t>Restructuration atelier - Orléans</t>
  </si>
  <si>
    <t>Office Métropole</t>
  </si>
  <si>
    <t>CH-2025-031</t>
  </si>
  <si>
    <t>Remise à niveau site tertiaire - Olivet</t>
  </si>
  <si>
    <t>Résidences Métropole</t>
  </si>
  <si>
    <t>CH-2025-032</t>
  </si>
  <si>
    <t>Hangar logistique - Saint-Jean-de-Braye</t>
  </si>
  <si>
    <t>Atriumis Bâtiment</t>
  </si>
  <si>
    <t>CH-2025-033</t>
  </si>
  <si>
    <t>Socle chantier - Saint-Jean-de-Braye</t>
  </si>
  <si>
    <t>Promovia Promotion</t>
  </si>
  <si>
    <t>CH-2025-034</t>
  </si>
  <si>
    <t>Restructuration ensemble locatif - Saint-Jean-de-la-Ruelle</t>
  </si>
  <si>
    <t>CH-2025-035</t>
  </si>
  <si>
    <t>Socle chantier - La Ferté-Saint-Aubin</t>
  </si>
  <si>
    <t>Vélocité Concept</t>
  </si>
  <si>
    <t>CH-2025-036</t>
  </si>
  <si>
    <t>Plateforme structure - Orléans Sud</t>
  </si>
  <si>
    <t>cout_id</t>
  </si>
  <si>
    <t>date</t>
  </si>
  <si>
    <t>type_cout</t>
  </si>
  <si>
    <t>montant_ht</t>
  </si>
  <si>
    <t>annee_chantier</t>
  </si>
  <si>
    <t>COUT-0001</t>
  </si>
  <si>
    <t>Achats</t>
  </si>
  <si>
    <t>COUT-0002</t>
  </si>
  <si>
    <t>COUT-0003</t>
  </si>
  <si>
    <t>COUT-0004</t>
  </si>
  <si>
    <t>COUT-0005</t>
  </si>
  <si>
    <t>COUT-0006</t>
  </si>
  <si>
    <t>Personnel</t>
  </si>
  <si>
    <t>COUT-0007</t>
  </si>
  <si>
    <t>COUT-0008</t>
  </si>
  <si>
    <t>COUT-0009</t>
  </si>
  <si>
    <t>COUT-0010</t>
  </si>
  <si>
    <t>COUT-0011</t>
  </si>
  <si>
    <t>COUT-0012</t>
  </si>
  <si>
    <t>COUT-0013</t>
  </si>
  <si>
    <t>COUT-0014</t>
  </si>
  <si>
    <t>COUT-0015</t>
  </si>
  <si>
    <t>COUT-0016</t>
  </si>
  <si>
    <t>COUT-0017</t>
  </si>
  <si>
    <t>COUT-0018</t>
  </si>
  <si>
    <t>COUT-0019</t>
  </si>
  <si>
    <t>COUT-0020</t>
  </si>
  <si>
    <t>COUT-0021</t>
  </si>
  <si>
    <t>COUT-0022</t>
  </si>
  <si>
    <t>COUT-0023</t>
  </si>
  <si>
    <t>COUT-0024</t>
  </si>
  <si>
    <t>COUT-0025</t>
  </si>
  <si>
    <t>COUT-0026</t>
  </si>
  <si>
    <t>COUT-0027</t>
  </si>
  <si>
    <t>COUT-0028</t>
  </si>
  <si>
    <t>COUT-0029</t>
  </si>
  <si>
    <t>COUT-0030</t>
  </si>
  <si>
    <t>COUT-0031</t>
  </si>
  <si>
    <t>COUT-0032</t>
  </si>
  <si>
    <t>COUT-0033</t>
  </si>
  <si>
    <t>COUT-0034</t>
  </si>
  <si>
    <t>COUT-0035</t>
  </si>
  <si>
    <t>COUT-0036</t>
  </si>
  <si>
    <t>COUT-0037</t>
  </si>
  <si>
    <t>COUT-0038</t>
  </si>
  <si>
    <t>COUT-0039</t>
  </si>
  <si>
    <t>COUT-0040</t>
  </si>
  <si>
    <t>COUT-0041</t>
  </si>
  <si>
    <t>COUT-0042</t>
  </si>
  <si>
    <t>COUT-0043</t>
  </si>
  <si>
    <t>COUT-0044</t>
  </si>
  <si>
    <t>COUT-0045</t>
  </si>
  <si>
    <t>COUT-0046</t>
  </si>
  <si>
    <t>COUT-0047</t>
  </si>
  <si>
    <t>COUT-0048</t>
  </si>
  <si>
    <t>COUT-0049</t>
  </si>
  <si>
    <t>COUT-0050</t>
  </si>
  <si>
    <t>COUT-0051</t>
  </si>
  <si>
    <t>COUT-0052</t>
  </si>
  <si>
    <t>COUT-0053</t>
  </si>
  <si>
    <t>COUT-0054</t>
  </si>
  <si>
    <t>COUT-0055</t>
  </si>
  <si>
    <t>COUT-0056</t>
  </si>
  <si>
    <t>COUT-0057</t>
  </si>
  <si>
    <t>COUT-0058</t>
  </si>
  <si>
    <t>COUT-0059</t>
  </si>
  <si>
    <t>COUT-0060</t>
  </si>
  <si>
    <t>COUT-0061</t>
  </si>
  <si>
    <t>COUT-0062</t>
  </si>
  <si>
    <t>COUT-0063</t>
  </si>
  <si>
    <t>COUT-0064</t>
  </si>
  <si>
    <t>COUT-0065</t>
  </si>
  <si>
    <t>COUT-0066</t>
  </si>
  <si>
    <t>COUT-0067</t>
  </si>
  <si>
    <t>COUT-0068</t>
  </si>
  <si>
    <t>COUT-0069</t>
  </si>
  <si>
    <t>COUT-0070</t>
  </si>
  <si>
    <t>COUT-0071</t>
  </si>
  <si>
    <t>COUT-0072</t>
  </si>
  <si>
    <t>COUT-0073</t>
  </si>
  <si>
    <t>COUT-0074</t>
  </si>
  <si>
    <t>COUT-0075</t>
  </si>
  <si>
    <t>COUT-0076</t>
  </si>
  <si>
    <t>COUT-0077</t>
  </si>
  <si>
    <t>COUT-0078</t>
  </si>
  <si>
    <t>COUT-0079</t>
  </si>
  <si>
    <t>COUT-0080</t>
  </si>
  <si>
    <t>COUT-0081</t>
  </si>
  <si>
    <t>COUT-0082</t>
  </si>
  <si>
    <t>COUT-0083</t>
  </si>
  <si>
    <t>COUT-0084</t>
  </si>
  <si>
    <t>COUT-0085</t>
  </si>
  <si>
    <t>COUT-0086</t>
  </si>
  <si>
    <t>COUT-0087</t>
  </si>
  <si>
    <t>COUT-0088</t>
  </si>
  <si>
    <t>COUT-0089</t>
  </si>
  <si>
    <t>COUT-0090</t>
  </si>
  <si>
    <t>COUT-0091</t>
  </si>
  <si>
    <t>COUT-0092</t>
  </si>
  <si>
    <t>COUT-0093</t>
  </si>
  <si>
    <t>COUT-0094</t>
  </si>
  <si>
    <t>COUT-0095</t>
  </si>
  <si>
    <t>COUT-0096</t>
  </si>
  <si>
    <t>COUT-0097</t>
  </si>
  <si>
    <t>COUT-0098</t>
  </si>
  <si>
    <t>COUT-0099</t>
  </si>
  <si>
    <t>COUT-0100</t>
  </si>
  <si>
    <t>COUT-0101</t>
  </si>
  <si>
    <t>COUT-0102</t>
  </si>
  <si>
    <t>COUT-0103</t>
  </si>
  <si>
    <t>COUT-0104</t>
  </si>
  <si>
    <t>COUT-0105</t>
  </si>
  <si>
    <t>COUT-0106</t>
  </si>
  <si>
    <t>COUT-0107</t>
  </si>
  <si>
    <t>COUT-0108</t>
  </si>
  <si>
    <t>COUT-0109</t>
  </si>
  <si>
    <t>COUT-0110</t>
  </si>
  <si>
    <t>COUT-0111</t>
  </si>
  <si>
    <t>COUT-0112</t>
  </si>
  <si>
    <t>COUT-0113</t>
  </si>
  <si>
    <t>COUT-0114</t>
  </si>
  <si>
    <t>COUT-0115</t>
  </si>
  <si>
    <t>COUT-0116</t>
  </si>
  <si>
    <t>COUT-0117</t>
  </si>
  <si>
    <t>COUT-0118</t>
  </si>
  <si>
    <t>COUT-0119</t>
  </si>
  <si>
    <t>COUT-0120</t>
  </si>
  <si>
    <t>COUT-0121</t>
  </si>
  <si>
    <t>COUT-0122</t>
  </si>
  <si>
    <t>COUT-0123</t>
  </si>
  <si>
    <t>COUT-0124</t>
  </si>
  <si>
    <t>COUT-0125</t>
  </si>
  <si>
    <t>COUT-0126</t>
  </si>
  <si>
    <t>COUT-0127</t>
  </si>
  <si>
    <t>COUT-0128</t>
  </si>
  <si>
    <t>COUT-0129</t>
  </si>
  <si>
    <t>COUT-0130</t>
  </si>
  <si>
    <t>COUT-0131</t>
  </si>
  <si>
    <t>COUT-0132</t>
  </si>
  <si>
    <t>COUT-0133</t>
  </si>
  <si>
    <t>COUT-0134</t>
  </si>
  <si>
    <t>COUT-0135</t>
  </si>
  <si>
    <t>COUT-0136</t>
  </si>
  <si>
    <t>COUT-0137</t>
  </si>
  <si>
    <t>COUT-0138</t>
  </si>
  <si>
    <t>COUT-0139</t>
  </si>
  <si>
    <t>COUT-0140</t>
  </si>
  <si>
    <t>COUT-0141</t>
  </si>
  <si>
    <t>COUT-0142</t>
  </si>
  <si>
    <t>COUT-0143</t>
  </si>
  <si>
    <t>COUT-0144</t>
  </si>
  <si>
    <t>COUT-0145</t>
  </si>
  <si>
    <t>COUT-0146</t>
  </si>
  <si>
    <t>COUT-0147</t>
  </si>
  <si>
    <t>COUT-0148</t>
  </si>
  <si>
    <t>COUT-0149</t>
  </si>
  <si>
    <t>COUT-0150</t>
  </si>
  <si>
    <t>COUT-0151</t>
  </si>
  <si>
    <t>COUT-0152</t>
  </si>
  <si>
    <t>COUT-0153</t>
  </si>
  <si>
    <t>COUT-0154</t>
  </si>
  <si>
    <t>COUT-0155</t>
  </si>
  <si>
    <t>COUT-0156</t>
  </si>
  <si>
    <t>COUT-0157</t>
  </si>
  <si>
    <t>COUT-0158</t>
  </si>
  <si>
    <t>COUT-0159</t>
  </si>
  <si>
    <t>COUT-0160</t>
  </si>
  <si>
    <t>COUT-0161</t>
  </si>
  <si>
    <t>COUT-0162</t>
  </si>
  <si>
    <t>COUT-0163</t>
  </si>
  <si>
    <t>COUT-0164</t>
  </si>
  <si>
    <t>COUT-0165</t>
  </si>
  <si>
    <t>COUT-0166</t>
  </si>
  <si>
    <t>COUT-0167</t>
  </si>
  <si>
    <t>COUT-0168</t>
  </si>
  <si>
    <t>COUT-0169</t>
  </si>
  <si>
    <t>COUT-0170</t>
  </si>
  <si>
    <t>COUT-0171</t>
  </si>
  <si>
    <t>COUT-0172</t>
  </si>
  <si>
    <t>COUT-0173</t>
  </si>
  <si>
    <t>COUT-0174</t>
  </si>
  <si>
    <t>COUT-0175</t>
  </si>
  <si>
    <t>COUT-0176</t>
  </si>
  <si>
    <t>COUT-0177</t>
  </si>
  <si>
    <t>COUT-0178</t>
  </si>
  <si>
    <t>COUT-0179</t>
  </si>
  <si>
    <t>COUT-0180</t>
  </si>
  <si>
    <t>COUT-0181</t>
  </si>
  <si>
    <t>COUT-0182</t>
  </si>
  <si>
    <t>COUT-0183</t>
  </si>
  <si>
    <t>COUT-0184</t>
  </si>
  <si>
    <t>COUT-0185</t>
  </si>
  <si>
    <t>COUT-0186</t>
  </si>
  <si>
    <t>COUT-0187</t>
  </si>
  <si>
    <t>COUT-0188</t>
  </si>
  <si>
    <t>COUT-0189</t>
  </si>
  <si>
    <t>COUT-0190</t>
  </si>
  <si>
    <t>COUT-0191</t>
  </si>
  <si>
    <t>COUT-0192</t>
  </si>
  <si>
    <t>COUT-0193</t>
  </si>
  <si>
    <t>COUT-0194</t>
  </si>
  <si>
    <t>COUT-0195</t>
  </si>
  <si>
    <t>COUT-0196</t>
  </si>
  <si>
    <t>COUT-0197</t>
  </si>
  <si>
    <t>COUT-0198</t>
  </si>
  <si>
    <t>COUT-0199</t>
  </si>
  <si>
    <t>COUT-0200</t>
  </si>
  <si>
    <t>COUT-0201</t>
  </si>
  <si>
    <t>COUT-0202</t>
  </si>
  <si>
    <t>COUT-0203</t>
  </si>
  <si>
    <t>COUT-0204</t>
  </si>
  <si>
    <t>COUT-0205</t>
  </si>
  <si>
    <t>COUT-0206</t>
  </si>
  <si>
    <t>COUT-0207</t>
  </si>
  <si>
    <t>COUT-0208</t>
  </si>
  <si>
    <t>COUT-0209</t>
  </si>
  <si>
    <t>COUT-0210</t>
  </si>
  <si>
    <t>COUT-0211</t>
  </si>
  <si>
    <t>COUT-0212</t>
  </si>
  <si>
    <t>COUT-0213</t>
  </si>
  <si>
    <t>COUT-0214</t>
  </si>
  <si>
    <t>COUT-0215</t>
  </si>
  <si>
    <t>COUT-0216</t>
  </si>
  <si>
    <t>COUT-0217</t>
  </si>
  <si>
    <t>COUT-0218</t>
  </si>
  <si>
    <t>COUT-0219</t>
  </si>
  <si>
    <t>COUT-0220</t>
  </si>
  <si>
    <t>COUT-0221</t>
  </si>
  <si>
    <t>COUT-0222</t>
  </si>
  <si>
    <t>COUT-0223</t>
  </si>
  <si>
    <t>COUT-0224</t>
  </si>
  <si>
    <t>COUT-0225</t>
  </si>
  <si>
    <t>COUT-0226</t>
  </si>
  <si>
    <t>COUT-0227</t>
  </si>
  <si>
    <t>COUT-0228</t>
  </si>
  <si>
    <t>COUT-0229</t>
  </si>
  <si>
    <t>COUT-0230</t>
  </si>
  <si>
    <t>COUT-0231</t>
  </si>
  <si>
    <t>COUT-0232</t>
  </si>
  <si>
    <t>COUT-0233</t>
  </si>
  <si>
    <t>COUT-0234</t>
  </si>
  <si>
    <t>COUT-0235</t>
  </si>
  <si>
    <t>COUT-0236</t>
  </si>
  <si>
    <t>COUT-0237</t>
  </si>
  <si>
    <t>COUT-0238</t>
  </si>
  <si>
    <t>COUT-0239</t>
  </si>
  <si>
    <t>COUT-0240</t>
  </si>
  <si>
    <t>COUT-0241</t>
  </si>
  <si>
    <t>COUT-0242</t>
  </si>
  <si>
    <t>COUT-0243</t>
  </si>
  <si>
    <t>COUT-0244</t>
  </si>
  <si>
    <t>COUT-0245</t>
  </si>
  <si>
    <t>COUT-0246</t>
  </si>
  <si>
    <t>COUT-0247</t>
  </si>
  <si>
    <t>COUT-0248</t>
  </si>
  <si>
    <t>COUT-0249</t>
  </si>
  <si>
    <t>COUT-0250</t>
  </si>
  <si>
    <t>COUT-0251</t>
  </si>
  <si>
    <t>COUT-0252</t>
  </si>
  <si>
    <t>COUT-0253</t>
  </si>
  <si>
    <t>COUT-0254</t>
  </si>
  <si>
    <t>COUT-0255</t>
  </si>
  <si>
    <t>COUT-0256</t>
  </si>
  <si>
    <t>COUT-0257</t>
  </si>
  <si>
    <t>COUT-0258</t>
  </si>
  <si>
    <t>COUT-0259</t>
  </si>
  <si>
    <t>COUT-0260</t>
  </si>
  <si>
    <t>COUT-0261</t>
  </si>
  <si>
    <t>COUT-0262</t>
  </si>
  <si>
    <t>COUT-0263</t>
  </si>
  <si>
    <t>COUT-0264</t>
  </si>
  <si>
    <t>COUT-0265</t>
  </si>
  <si>
    <t>COUT-0266</t>
  </si>
  <si>
    <t>COUT-0267</t>
  </si>
  <si>
    <t>COUT-0268</t>
  </si>
  <si>
    <t>COUT-0269</t>
  </si>
  <si>
    <t>COUT-0270</t>
  </si>
  <si>
    <t>COUT-0271</t>
  </si>
  <si>
    <t>COUT-0272</t>
  </si>
  <si>
    <t>COUT-0273</t>
  </si>
  <si>
    <t>COUT-0274</t>
  </si>
  <si>
    <t>COUT-0275</t>
  </si>
  <si>
    <t>COUT-0276</t>
  </si>
  <si>
    <t>COUT-0277</t>
  </si>
  <si>
    <t>COUT-0278</t>
  </si>
  <si>
    <t>COUT-0279</t>
  </si>
  <si>
    <t>COUT-0280</t>
  </si>
  <si>
    <t>COUT-0281</t>
  </si>
  <si>
    <t>COUT-0282</t>
  </si>
  <si>
    <t>COUT-0283</t>
  </si>
  <si>
    <t>COUT-0284</t>
  </si>
  <si>
    <t>COUT-0285</t>
  </si>
  <si>
    <t>COUT-0286</t>
  </si>
  <si>
    <t>COUT-0287</t>
  </si>
  <si>
    <t>COUT-0288</t>
  </si>
  <si>
    <t>COUT-0289</t>
  </si>
  <si>
    <t>COUT-0290</t>
  </si>
  <si>
    <t>COUT-0291</t>
  </si>
  <si>
    <t>COUT-0292</t>
  </si>
  <si>
    <t>COUT-0293</t>
  </si>
  <si>
    <t>COUT-0294</t>
  </si>
  <si>
    <t>COUT-0295</t>
  </si>
  <si>
    <t>COUT-0296</t>
  </si>
  <si>
    <t>COUT-0297</t>
  </si>
  <si>
    <t>COUT-0298</t>
  </si>
  <si>
    <t>COUT-0299</t>
  </si>
  <si>
    <t>COUT-0300</t>
  </si>
  <si>
    <t>COUT-0301</t>
  </si>
  <si>
    <t>COUT-0302</t>
  </si>
  <si>
    <t>COUT-0303</t>
  </si>
  <si>
    <t>COUT-0304</t>
  </si>
  <si>
    <t>COUT-0305</t>
  </si>
  <si>
    <t>COUT-0306</t>
  </si>
  <si>
    <t>COUT-0307</t>
  </si>
  <si>
    <t>COUT-0308</t>
  </si>
  <si>
    <t>COUT-0309</t>
  </si>
  <si>
    <t>COUT-0310</t>
  </si>
  <si>
    <t>COUT-0311</t>
  </si>
  <si>
    <t>COUT-0312</t>
  </si>
  <si>
    <t>COUT-0313</t>
  </si>
  <si>
    <t>COUT-0314</t>
  </si>
  <si>
    <t>COUT-0315</t>
  </si>
  <si>
    <t>COUT-0316</t>
  </si>
  <si>
    <t>COUT-0317</t>
  </si>
  <si>
    <t>COUT-0318</t>
  </si>
  <si>
    <t>COUT-0319</t>
  </si>
  <si>
    <t>COUT-0320</t>
  </si>
  <si>
    <t>COUT-0321</t>
  </si>
  <si>
    <t>COUT-0322</t>
  </si>
  <si>
    <t>COUT-0323</t>
  </si>
  <si>
    <t>COUT-0324</t>
  </si>
  <si>
    <t>COUT-0325</t>
  </si>
  <si>
    <t>COUT-0326</t>
  </si>
  <si>
    <t>COUT-0327</t>
  </si>
  <si>
    <t>COUT-0328</t>
  </si>
  <si>
    <t>COUT-0329</t>
  </si>
  <si>
    <t>COUT-0330</t>
  </si>
  <si>
    <t>COUT-0331</t>
  </si>
  <si>
    <t>COUT-0332</t>
  </si>
  <si>
    <t>COUT-0333</t>
  </si>
  <si>
    <t>COUT-0334</t>
  </si>
  <si>
    <t>COUT-0335</t>
  </si>
  <si>
    <t>COUT-0336</t>
  </si>
  <si>
    <t>COUT-0337</t>
  </si>
  <si>
    <t>COUT-0338</t>
  </si>
  <si>
    <t>COUT-0339</t>
  </si>
  <si>
    <t>COUT-0340</t>
  </si>
  <si>
    <t>COUT-0341</t>
  </si>
  <si>
    <t>COUT-0342</t>
  </si>
  <si>
    <t>COUT-0343</t>
  </si>
  <si>
    <t>COUT-0344</t>
  </si>
  <si>
    <t>COUT-0345</t>
  </si>
  <si>
    <t>COUT-0346</t>
  </si>
  <si>
    <t>COUT-0347</t>
  </si>
  <si>
    <t>COUT-0348</t>
  </si>
  <si>
    <t>COUT-0349</t>
  </si>
  <si>
    <t>COUT-0350</t>
  </si>
  <si>
    <t>COUT-0351</t>
  </si>
  <si>
    <t>COUT-0352</t>
  </si>
  <si>
    <t>COUT-0353</t>
  </si>
  <si>
    <t>COUT-0354</t>
  </si>
  <si>
    <t>COUT-0355</t>
  </si>
  <si>
    <t>COUT-0356</t>
  </si>
  <si>
    <t>COUT-0357</t>
  </si>
  <si>
    <t>COUT-0358</t>
  </si>
  <si>
    <t>COUT-0359</t>
  </si>
  <si>
    <t>COUT-0360</t>
  </si>
  <si>
    <t>COUT-0361</t>
  </si>
  <si>
    <t>COUT-0362</t>
  </si>
  <si>
    <t>COUT-0363</t>
  </si>
  <si>
    <t>COUT-0364</t>
  </si>
  <si>
    <t>COUT-0365</t>
  </si>
  <si>
    <t>COUT-0366</t>
  </si>
  <si>
    <t>COUT-0367</t>
  </si>
  <si>
    <t>COUT-0368</t>
  </si>
  <si>
    <t>COUT-0369</t>
  </si>
  <si>
    <t>COUT-0370</t>
  </si>
  <si>
    <t>COUT-0371</t>
  </si>
  <si>
    <t>COUT-0372</t>
  </si>
  <si>
    <t>COUT-0373</t>
  </si>
  <si>
    <t>COUT-0374</t>
  </si>
  <si>
    <t>COUT-0375</t>
  </si>
  <si>
    <t>COUT-0376</t>
  </si>
  <si>
    <t>COUT-0377</t>
  </si>
  <si>
    <t>COUT-0378</t>
  </si>
  <si>
    <t>COUT-0379</t>
  </si>
  <si>
    <t>COUT-0380</t>
  </si>
  <si>
    <t>COUT-0381</t>
  </si>
  <si>
    <t>COUT-0382</t>
  </si>
  <si>
    <t>COUT-0383</t>
  </si>
  <si>
    <t>COUT-0384</t>
  </si>
  <si>
    <t>COUT-0385</t>
  </si>
  <si>
    <t>COUT-0386</t>
  </si>
  <si>
    <t>COUT-0387</t>
  </si>
  <si>
    <t>COUT-0388</t>
  </si>
  <si>
    <t>COUT-0389</t>
  </si>
  <si>
    <t>COUT-0390</t>
  </si>
  <si>
    <t>COUT-0391</t>
  </si>
  <si>
    <t>COUT-0392</t>
  </si>
  <si>
    <t>COUT-0393</t>
  </si>
  <si>
    <t>COUT-0394</t>
  </si>
  <si>
    <t>COUT-0395</t>
  </si>
  <si>
    <t>COUT-0396</t>
  </si>
  <si>
    <t>COUT-0397</t>
  </si>
  <si>
    <t>COUT-0398</t>
  </si>
  <si>
    <t>COUT-0399</t>
  </si>
  <si>
    <t>COUT-0400</t>
  </si>
  <si>
    <t>COUT-0401</t>
  </si>
  <si>
    <t>COUT-0402</t>
  </si>
  <si>
    <t>COUT-0403</t>
  </si>
  <si>
    <t>COUT-0404</t>
  </si>
  <si>
    <t>COUT-0405</t>
  </si>
  <si>
    <t>COUT-0406</t>
  </si>
  <si>
    <t>COUT-0407</t>
  </si>
  <si>
    <t>COUT-0408</t>
  </si>
  <si>
    <t>COUT-0409</t>
  </si>
  <si>
    <t>COUT-0410</t>
  </si>
  <si>
    <t>COUT-0411</t>
  </si>
  <si>
    <t>COUT-0412</t>
  </si>
  <si>
    <t>COUT-0413</t>
  </si>
  <si>
    <t>COUT-0414</t>
  </si>
  <si>
    <t>COUT-0415</t>
  </si>
  <si>
    <t>COUT-0416</t>
  </si>
  <si>
    <t>COUT-0417</t>
  </si>
  <si>
    <t>COUT-0418</t>
  </si>
  <si>
    <t>COUT-0419</t>
  </si>
  <si>
    <t>COUT-0420</t>
  </si>
  <si>
    <t>COUT-0421</t>
  </si>
  <si>
    <t>COUT-0422</t>
  </si>
  <si>
    <t>COUT-0423</t>
  </si>
  <si>
    <t>COUT-0424</t>
  </si>
  <si>
    <t>COUT-0425</t>
  </si>
  <si>
    <t>COUT-0426</t>
  </si>
  <si>
    <t>COUT-0427</t>
  </si>
  <si>
    <t>COUT-0428</t>
  </si>
  <si>
    <t>COUT-0429</t>
  </si>
  <si>
    <t>COUT-0430</t>
  </si>
  <si>
    <t>COUT-0431</t>
  </si>
  <si>
    <t>COUT-0432</t>
  </si>
  <si>
    <t>COUT-0433</t>
  </si>
  <si>
    <t>COUT-0434</t>
  </si>
  <si>
    <t>COUT-0435</t>
  </si>
  <si>
    <t>COUT-0436</t>
  </si>
  <si>
    <t>COUT-0437</t>
  </si>
  <si>
    <t>COUT-0438</t>
  </si>
  <si>
    <t>COUT-0439</t>
  </si>
  <si>
    <t>COUT-0440</t>
  </si>
  <si>
    <t>COUT-0441</t>
  </si>
  <si>
    <t>COUT-0442</t>
  </si>
  <si>
    <t>COUT-0443</t>
  </si>
  <si>
    <t>COUT-0444</t>
  </si>
  <si>
    <t>COUT-0445</t>
  </si>
  <si>
    <t>COUT-0446</t>
  </si>
  <si>
    <t>COUT-0447</t>
  </si>
  <si>
    <t>COUT-0448</t>
  </si>
  <si>
    <t>COUT-0449</t>
  </si>
  <si>
    <t>COUT-0450</t>
  </si>
  <si>
    <t>COUT-0451</t>
  </si>
  <si>
    <t>COUT-0452</t>
  </si>
  <si>
    <t>COUT-0453</t>
  </si>
  <si>
    <t>COUT-0454</t>
  </si>
  <si>
    <t>COUT-0455</t>
  </si>
  <si>
    <t>COUT-0456</t>
  </si>
  <si>
    <t>COUT-0457</t>
  </si>
  <si>
    <t>COUT-0458</t>
  </si>
  <si>
    <t>COUT-0459</t>
  </si>
  <si>
    <t>COUT-0460</t>
  </si>
  <si>
    <t>COUT-0461</t>
  </si>
  <si>
    <t>COUT-0462</t>
  </si>
  <si>
    <t>COUT-0463</t>
  </si>
  <si>
    <t>COUT-0464</t>
  </si>
  <si>
    <t>COUT-0465</t>
  </si>
  <si>
    <t>COUT-0466</t>
  </si>
  <si>
    <t>COUT-0467</t>
  </si>
  <si>
    <t>COUT-0468</t>
  </si>
  <si>
    <t>COUT-0469</t>
  </si>
  <si>
    <t>COUT-0470</t>
  </si>
  <si>
    <t>COUT-0471</t>
  </si>
  <si>
    <t>COUT-0472</t>
  </si>
  <si>
    <t>COUT-0473</t>
  </si>
  <si>
    <t>COUT-0474</t>
  </si>
  <si>
    <t>COUT-0475</t>
  </si>
  <si>
    <t>COUT-0476</t>
  </si>
  <si>
    <t>COUT-0477</t>
  </si>
  <si>
    <t>COUT-0478</t>
  </si>
  <si>
    <t>COUT-0479</t>
  </si>
  <si>
    <t>COUT-0480</t>
  </si>
  <si>
    <t>COUT-0481</t>
  </si>
  <si>
    <t>COUT-0482</t>
  </si>
  <si>
    <t>COUT-0483</t>
  </si>
  <si>
    <t>COUT-0484</t>
  </si>
  <si>
    <t>COUT-0485</t>
  </si>
  <si>
    <t>COUT-0486</t>
  </si>
  <si>
    <t>COUT-0487</t>
  </si>
  <si>
    <t>COUT-0488</t>
  </si>
  <si>
    <t>COUT-0489</t>
  </si>
  <si>
    <t>COUT-0490</t>
  </si>
  <si>
    <t>COUT-0491</t>
  </si>
  <si>
    <t>COUT-0492</t>
  </si>
  <si>
    <t>COUT-0493</t>
  </si>
  <si>
    <t>COUT-0494</t>
  </si>
  <si>
    <t>COUT-0495</t>
  </si>
  <si>
    <t>COUT-0496</t>
  </si>
  <si>
    <t>COUT-0497</t>
  </si>
  <si>
    <t>COUT-0498</t>
  </si>
  <si>
    <t>COUT-0499</t>
  </si>
  <si>
    <t>COUT-0500</t>
  </si>
  <si>
    <t>COUT-0501</t>
  </si>
  <si>
    <t>COUT-0502</t>
  </si>
  <si>
    <t>COUT-0503</t>
  </si>
  <si>
    <t>COUT-0504</t>
  </si>
  <si>
    <t>COUT-0505</t>
  </si>
  <si>
    <t>COUT-0506</t>
  </si>
  <si>
    <t>COUT-0507</t>
  </si>
  <si>
    <t>COUT-0508</t>
  </si>
  <si>
    <t>COUT-0509</t>
  </si>
  <si>
    <t>COUT-0510</t>
  </si>
  <si>
    <t>COUT-0511</t>
  </si>
  <si>
    <t>COUT-0512</t>
  </si>
  <si>
    <t>COUT-0513</t>
  </si>
  <si>
    <t>COUT-0514</t>
  </si>
  <si>
    <t>COUT-0515</t>
  </si>
  <si>
    <t>COUT-0516</t>
  </si>
  <si>
    <t>COUT-0517</t>
  </si>
  <si>
    <t>COUT-0518</t>
  </si>
  <si>
    <t>COUT-0519</t>
  </si>
  <si>
    <t>COUT-0520</t>
  </si>
  <si>
    <t>COUT-0521</t>
  </si>
  <si>
    <t>COUT-0522</t>
  </si>
  <si>
    <t>COUT-0523</t>
  </si>
  <si>
    <t>COUT-0524</t>
  </si>
  <si>
    <t>COUT-0525</t>
  </si>
  <si>
    <t>COUT-0526</t>
  </si>
  <si>
    <t>COUT-0527</t>
  </si>
  <si>
    <t>COUT-0528</t>
  </si>
  <si>
    <t>COUT-0529</t>
  </si>
  <si>
    <t>COUT-0530</t>
  </si>
  <si>
    <t>COUT-0531</t>
  </si>
  <si>
    <t>COUT-0532</t>
  </si>
  <si>
    <t>COUT-0533</t>
  </si>
  <si>
    <t>COUT-0534</t>
  </si>
  <si>
    <t>COUT-0535</t>
  </si>
  <si>
    <t>COUT-0536</t>
  </si>
  <si>
    <t>COUT-0537</t>
  </si>
  <si>
    <t>COUT-0538</t>
  </si>
  <si>
    <t>COUT-0539</t>
  </si>
  <si>
    <t>COUT-0540</t>
  </si>
  <si>
    <t>COUT-0541</t>
  </si>
  <si>
    <t>COUT-0542</t>
  </si>
  <si>
    <t>COUT-0543</t>
  </si>
  <si>
    <t>COUT-0544</t>
  </si>
  <si>
    <t>COUT-0545</t>
  </si>
  <si>
    <t>COUT-0546</t>
  </si>
  <si>
    <t>COUT-0547</t>
  </si>
  <si>
    <t>COUT-0548</t>
  </si>
  <si>
    <t>COUT-0549</t>
  </si>
  <si>
    <t>COUT-0550</t>
  </si>
  <si>
    <t>COUT-0551</t>
  </si>
  <si>
    <t>COUT-0552</t>
  </si>
  <si>
    <t>COUT-0553</t>
  </si>
  <si>
    <t>COUT-0554</t>
  </si>
  <si>
    <t>COUT-0555</t>
  </si>
  <si>
    <t>COUT-0556</t>
  </si>
  <si>
    <t>COUT-0557</t>
  </si>
  <si>
    <t>COUT-0558</t>
  </si>
  <si>
    <t>COUT-0559</t>
  </si>
  <si>
    <t>COUT-0560</t>
  </si>
  <si>
    <t>COUT-0561</t>
  </si>
  <si>
    <t>COUT-0562</t>
  </si>
  <si>
    <t>COUT-0563</t>
  </si>
  <si>
    <t>COUT-0564</t>
  </si>
  <si>
    <t>COUT-0565</t>
  </si>
  <si>
    <t>COUT-0566</t>
  </si>
  <si>
    <t>COUT-0567</t>
  </si>
  <si>
    <t>COUT-0568</t>
  </si>
  <si>
    <t>COUT-0569</t>
  </si>
  <si>
    <t>COUT-0570</t>
  </si>
  <si>
    <t>COUT-0571</t>
  </si>
  <si>
    <t>COUT-0572</t>
  </si>
  <si>
    <t>COUT-0573</t>
  </si>
  <si>
    <t>COUT-0574</t>
  </si>
  <si>
    <t>COUT-0575</t>
  </si>
  <si>
    <t>COUT-0576</t>
  </si>
  <si>
    <t>COUT-0577</t>
  </si>
  <si>
    <t>COUT-0578</t>
  </si>
  <si>
    <t>COUT-0579</t>
  </si>
  <si>
    <t>COUT-0580</t>
  </si>
  <si>
    <t>COUT-0581</t>
  </si>
  <si>
    <t>COUT-0582</t>
  </si>
  <si>
    <t>COUT-0583</t>
  </si>
  <si>
    <t>COUT-0584</t>
  </si>
  <si>
    <t>COUT-0585</t>
  </si>
  <si>
    <t>COUT-0586</t>
  </si>
  <si>
    <t>COUT-0587</t>
  </si>
  <si>
    <t>COUT-0588</t>
  </si>
  <si>
    <t>COUT-0589</t>
  </si>
  <si>
    <t>COUT-0590</t>
  </si>
  <si>
    <t>COUT-0591</t>
  </si>
  <si>
    <t>COUT-0592</t>
  </si>
  <si>
    <t>COUT-0593</t>
  </si>
  <si>
    <t>COUT-0594</t>
  </si>
  <si>
    <t>COUT-0595</t>
  </si>
  <si>
    <t>COUT-0596</t>
  </si>
  <si>
    <t>COUT-0597</t>
  </si>
  <si>
    <t>COUT-0598</t>
  </si>
  <si>
    <t>COUT-0599</t>
  </si>
  <si>
    <t>COUT-0600</t>
  </si>
  <si>
    <t>COUT-0601</t>
  </si>
  <si>
    <t>COUT-0602</t>
  </si>
  <si>
    <t>COUT-0603</t>
  </si>
  <si>
    <t>COUT-0604</t>
  </si>
  <si>
    <t>COUT-0605</t>
  </si>
  <si>
    <t>COUT-0606</t>
  </si>
  <si>
    <t>COUT-0607</t>
  </si>
  <si>
    <t>COUT-0608</t>
  </si>
  <si>
    <t>COUT-0609</t>
  </si>
  <si>
    <t>COUT-0610</t>
  </si>
  <si>
    <t>COUT-0611</t>
  </si>
  <si>
    <t>COUT-0612</t>
  </si>
  <si>
    <t>COUT-0613</t>
  </si>
  <si>
    <t>COUT-0614</t>
  </si>
  <si>
    <t>COUT-0615</t>
  </si>
  <si>
    <t>COUT-0616</t>
  </si>
  <si>
    <t>COUT-0617</t>
  </si>
  <si>
    <t>COUT-0618</t>
  </si>
  <si>
    <t>COUT-0619</t>
  </si>
  <si>
    <t>COUT-0620</t>
  </si>
  <si>
    <t>COUT-0621</t>
  </si>
  <si>
    <t>COUT-0622</t>
  </si>
  <si>
    <t>COUT-0623</t>
  </si>
  <si>
    <t>COUT-0624</t>
  </si>
  <si>
    <t>COUT-0625</t>
  </si>
  <si>
    <t>COUT-0626</t>
  </si>
  <si>
    <t>COUT-0627</t>
  </si>
  <si>
    <t>COUT-0628</t>
  </si>
  <si>
    <t>COUT-0629</t>
  </si>
  <si>
    <t>COUT-0630</t>
  </si>
  <si>
    <t>COUT-0631</t>
  </si>
  <si>
    <t>COUT-0632</t>
  </si>
  <si>
    <t>COUT-0633</t>
  </si>
  <si>
    <t>COUT-0634</t>
  </si>
  <si>
    <t>COUT-0635</t>
  </si>
  <si>
    <t>COUT-0636</t>
  </si>
  <si>
    <t>COUT-0637</t>
  </si>
  <si>
    <t>COUT-0638</t>
  </si>
  <si>
    <t>COUT-0639</t>
  </si>
  <si>
    <t>COUT-0640</t>
  </si>
  <si>
    <t>COUT-0641</t>
  </si>
  <si>
    <t>COUT-0642</t>
  </si>
  <si>
    <t>COUT-0643</t>
  </si>
  <si>
    <t>COUT-0644</t>
  </si>
  <si>
    <t>COUT-0645</t>
  </si>
  <si>
    <t>COUT-0646</t>
  </si>
  <si>
    <t>COUT-0647</t>
  </si>
  <si>
    <t>COUT-0648</t>
  </si>
  <si>
    <t>COUT-0649</t>
  </si>
  <si>
    <t>COUT-0650</t>
  </si>
  <si>
    <t>COUT-0651</t>
  </si>
  <si>
    <t>COUT-0652</t>
  </si>
  <si>
    <t>COUT-0653</t>
  </si>
  <si>
    <t>COUT-0654</t>
  </si>
  <si>
    <t>COUT-0655</t>
  </si>
  <si>
    <t>COUT-0656</t>
  </si>
  <si>
    <t>COUT-0657</t>
  </si>
  <si>
    <t>COUT-0658</t>
  </si>
  <si>
    <t>COUT-0659</t>
  </si>
  <si>
    <t>COUT-0660</t>
  </si>
  <si>
    <t>COUT-0661</t>
  </si>
  <si>
    <t>COUT-0662</t>
  </si>
  <si>
    <t>COUT-0663</t>
  </si>
  <si>
    <t>COUT-0664</t>
  </si>
  <si>
    <t>COUT-0665</t>
  </si>
  <si>
    <t>COUT-0666</t>
  </si>
  <si>
    <t>COUT-0667</t>
  </si>
  <si>
    <t>COUT-0668</t>
  </si>
  <si>
    <t>COUT-0669</t>
  </si>
  <si>
    <t>COUT-0670</t>
  </si>
  <si>
    <t>COUT-0671</t>
  </si>
  <si>
    <t>COUT-0672</t>
  </si>
  <si>
    <t>COUT-0673</t>
  </si>
  <si>
    <t>COUT-0674</t>
  </si>
  <si>
    <t>COUT-0675</t>
  </si>
  <si>
    <t>COUT-0676</t>
  </si>
  <si>
    <t>COUT-0677</t>
  </si>
  <si>
    <t>COUT-0678</t>
  </si>
  <si>
    <t>COUT-0679</t>
  </si>
  <si>
    <t>COUT-0680</t>
  </si>
  <si>
    <t>COUT-0681</t>
  </si>
  <si>
    <t>COUT-0682</t>
  </si>
  <si>
    <t>COUT-0683</t>
  </si>
  <si>
    <t>COUT-0684</t>
  </si>
  <si>
    <t>COUT-0685</t>
  </si>
  <si>
    <t>COUT-0686</t>
  </si>
  <si>
    <t>COUT-0687</t>
  </si>
  <si>
    <t>COUT-0688</t>
  </si>
  <si>
    <t>COUT-0689</t>
  </si>
  <si>
    <t>COUT-0690</t>
  </si>
  <si>
    <t>COUT-0691</t>
  </si>
  <si>
    <t>COUT-0692</t>
  </si>
  <si>
    <t>COUT-0693</t>
  </si>
  <si>
    <t>COUT-0694</t>
  </si>
  <si>
    <t>facture_id</t>
  </si>
  <si>
    <t>date_facture</t>
  </si>
  <si>
    <t>date_echeance</t>
  </si>
  <si>
    <t>date_paiement</t>
  </si>
  <si>
    <t>est_impayee_23032026</t>
  </si>
  <si>
    <t>est_retard_23032026</t>
  </si>
  <si>
    <t>montant_encours_23032026</t>
  </si>
  <si>
    <t>montant_retard_23032026</t>
  </si>
  <si>
    <t>FAC-0001</t>
  </si>
  <si>
    <t>FAC-0002</t>
  </si>
  <si>
    <t>FAC-0003</t>
  </si>
  <si>
    <t>FAC-0004</t>
  </si>
  <si>
    <t>FAC-0005</t>
  </si>
  <si>
    <t>FAC-0006</t>
  </si>
  <si>
    <t>FAC-0007</t>
  </si>
  <si>
    <t>FAC-0008</t>
  </si>
  <si>
    <t>FAC-0009</t>
  </si>
  <si>
    <t>FAC-0010</t>
  </si>
  <si>
    <t>FAC-0011</t>
  </si>
  <si>
    <t>FAC-0012</t>
  </si>
  <si>
    <t>FAC-0013</t>
  </si>
  <si>
    <t>FAC-0014</t>
  </si>
  <si>
    <t>FAC-0015</t>
  </si>
  <si>
    <t>FAC-0016</t>
  </si>
  <si>
    <t>FAC-0017</t>
  </si>
  <si>
    <t>FAC-0018</t>
  </si>
  <si>
    <t>FAC-0019</t>
  </si>
  <si>
    <t>FAC-0020</t>
  </si>
  <si>
    <t>FAC-0021</t>
  </si>
  <si>
    <t>FAC-0022</t>
  </si>
  <si>
    <t>FAC-0023</t>
  </si>
  <si>
    <t>FAC-0024</t>
  </si>
  <si>
    <t>FAC-0025</t>
  </si>
  <si>
    <t>FAC-0026</t>
  </si>
  <si>
    <t>FAC-0027</t>
  </si>
  <si>
    <t>FAC-0028</t>
  </si>
  <si>
    <t>FAC-0029</t>
  </si>
  <si>
    <t>FAC-0030</t>
  </si>
  <si>
    <t>FAC-0031</t>
  </si>
  <si>
    <t>FAC-0032</t>
  </si>
  <si>
    <t>FAC-0033</t>
  </si>
  <si>
    <t>FAC-0034</t>
  </si>
  <si>
    <t>FAC-0035</t>
  </si>
  <si>
    <t>FAC-0036</t>
  </si>
  <si>
    <t>FAC-0037</t>
  </si>
  <si>
    <t>FAC-0038</t>
  </si>
  <si>
    <t>FAC-0039</t>
  </si>
  <si>
    <t>FAC-0040</t>
  </si>
  <si>
    <t>FAC-0041</t>
  </si>
  <si>
    <t>FAC-0042</t>
  </si>
  <si>
    <t>FAC-0043</t>
  </si>
  <si>
    <t>FAC-0044</t>
  </si>
  <si>
    <t>FAC-0045</t>
  </si>
  <si>
    <t>FAC-0046</t>
  </si>
  <si>
    <t>FAC-0047</t>
  </si>
  <si>
    <t>FAC-0048</t>
  </si>
  <si>
    <t>FAC-0049</t>
  </si>
  <si>
    <t>FAC-0050</t>
  </si>
  <si>
    <t>FAC-0051</t>
  </si>
  <si>
    <t>FAC-0052</t>
  </si>
  <si>
    <t>FAC-0053</t>
  </si>
  <si>
    <t>FAC-0054</t>
  </si>
  <si>
    <t>FAC-0055</t>
  </si>
  <si>
    <t>FAC-0056</t>
  </si>
  <si>
    <t>FAC-0057</t>
  </si>
  <si>
    <t>FAC-0058</t>
  </si>
  <si>
    <t>FAC-0059</t>
  </si>
  <si>
    <t>FAC-0060</t>
  </si>
  <si>
    <t>FAC-0061</t>
  </si>
  <si>
    <t>FAC-0062</t>
  </si>
  <si>
    <t>FAC-0063</t>
  </si>
  <si>
    <t>FAC-0064</t>
  </si>
  <si>
    <t>FAC-0065</t>
  </si>
  <si>
    <t>FAC-0066</t>
  </si>
  <si>
    <t>FAC-0067</t>
  </si>
  <si>
    <t>FAC-0068</t>
  </si>
  <si>
    <t>FAC-0069</t>
  </si>
  <si>
    <t>FAC-0070</t>
  </si>
  <si>
    <t>FAC-0071</t>
  </si>
  <si>
    <t>FAC-0072</t>
  </si>
  <si>
    <t>FAC-0073</t>
  </si>
  <si>
    <t>FAC-0074</t>
  </si>
  <si>
    <t>FAC-0075</t>
  </si>
  <si>
    <t>FAC-0076</t>
  </si>
  <si>
    <t>FAC-0077</t>
  </si>
  <si>
    <t>FAC-0078</t>
  </si>
  <si>
    <t>FAC-0079</t>
  </si>
  <si>
    <t>FAC-0080</t>
  </si>
  <si>
    <t>FAC-0081</t>
  </si>
  <si>
    <t>FAC-0082</t>
  </si>
  <si>
    <t>FAC-0083</t>
  </si>
  <si>
    <t>FAC-0084</t>
  </si>
  <si>
    <t>FAC-0085</t>
  </si>
  <si>
    <t>FAC-0086</t>
  </si>
  <si>
    <t>FAC-0087</t>
  </si>
  <si>
    <t>FAC-0088</t>
  </si>
  <si>
    <t>FAC-0089</t>
  </si>
  <si>
    <t>FAC-0090</t>
  </si>
  <si>
    <t>FAC-0091</t>
  </si>
  <si>
    <t>FAC-0092</t>
  </si>
  <si>
    <t>FAC-0093</t>
  </si>
  <si>
    <t>FAC-0094</t>
  </si>
  <si>
    <t>FAC-0095</t>
  </si>
  <si>
    <t>FAC-0096</t>
  </si>
  <si>
    <t>FAC-0097</t>
  </si>
  <si>
    <t>FAC-0098</t>
  </si>
  <si>
    <t>FAC-0099</t>
  </si>
  <si>
    <t>FAC-0100</t>
  </si>
  <si>
    <t>FAC-0101</t>
  </si>
  <si>
    <t>FAC-0102</t>
  </si>
  <si>
    <t>FAC-0103</t>
  </si>
  <si>
    <t>FAC-0104</t>
  </si>
  <si>
    <t>FAC-0105</t>
  </si>
  <si>
    <t>FAC-0106</t>
  </si>
  <si>
    <t>FAC-0107</t>
  </si>
  <si>
    <t>FAC-0108</t>
  </si>
  <si>
    <t>FAC-0109</t>
  </si>
  <si>
    <t>FAC-0110</t>
  </si>
  <si>
    <t>FAC-0111</t>
  </si>
  <si>
    <t>FAC-0112</t>
  </si>
  <si>
    <t>FAC-0113</t>
  </si>
  <si>
    <t>FAC-0114</t>
  </si>
  <si>
    <t>FAC-0115</t>
  </si>
  <si>
    <t>FAC-0116</t>
  </si>
  <si>
    <t>FAC-0117</t>
  </si>
  <si>
    <t>FAC-0118</t>
  </si>
  <si>
    <t>FAC-0119</t>
  </si>
  <si>
    <t>FAC-0120</t>
  </si>
  <si>
    <t>FAC-0121</t>
  </si>
  <si>
    <t>FAC-0122</t>
  </si>
  <si>
    <t>FAC-0123</t>
  </si>
  <si>
    <t>FAC-0124</t>
  </si>
  <si>
    <t>FAC-0125</t>
  </si>
  <si>
    <t>FAC-0126</t>
  </si>
  <si>
    <t>FAC-0127</t>
  </si>
  <si>
    <t>FAC-0128</t>
  </si>
  <si>
    <t>FAC-0129</t>
  </si>
  <si>
    <t>FAC-0130</t>
  </si>
  <si>
    <t>FAC-0131</t>
  </si>
  <si>
    <t>FAC-0132</t>
  </si>
  <si>
    <t>FAC-0133</t>
  </si>
  <si>
    <t>FAC-0134</t>
  </si>
  <si>
    <t>FAC-0135</t>
  </si>
  <si>
    <t>FAC-0136</t>
  </si>
  <si>
    <t>FAC-0137</t>
  </si>
  <si>
    <t>FAC-0138</t>
  </si>
  <si>
    <t>FAC-0139</t>
  </si>
  <si>
    <t>FAC-0140</t>
  </si>
  <si>
    <t>FAC-0141</t>
  </si>
  <si>
    <t>FAC-0142</t>
  </si>
  <si>
    <t>FAC-0143</t>
  </si>
  <si>
    <t>FAC-0144</t>
  </si>
  <si>
    <t>FAC-0145</t>
  </si>
  <si>
    <t>FAC-0146</t>
  </si>
  <si>
    <t>FAC-0147</t>
  </si>
  <si>
    <t>FAC-0148</t>
  </si>
  <si>
    <t>FAC-0149</t>
  </si>
  <si>
    <t>FAC-0150</t>
  </si>
  <si>
    <t>FAC-0151</t>
  </si>
  <si>
    <t>FAC-0152</t>
  </si>
  <si>
    <t>FAC-0153</t>
  </si>
  <si>
    <t>FAC-0154</t>
  </si>
  <si>
    <t>FAC-0155</t>
  </si>
  <si>
    <t>FAC-0156</t>
  </si>
  <si>
    <t>FAC-0157</t>
  </si>
  <si>
    <t>FAC-0158</t>
  </si>
  <si>
    <t>FAC-0159</t>
  </si>
  <si>
    <t>FAC-0160</t>
  </si>
  <si>
    <t>FAC-0161</t>
  </si>
  <si>
    <t>FAC-0162</t>
  </si>
  <si>
    <t>FAC-0163</t>
  </si>
  <si>
    <t>FAC-0164</t>
  </si>
  <si>
    <t>FAC-0165</t>
  </si>
  <si>
    <t>FAC-0166</t>
  </si>
  <si>
    <t>FAC-0167</t>
  </si>
  <si>
    <t>FAC-0168</t>
  </si>
  <si>
    <t>FAC-0169</t>
  </si>
  <si>
    <t>FAC-0170</t>
  </si>
  <si>
    <t>FAC-0171</t>
  </si>
  <si>
    <t>FAC-0172</t>
  </si>
  <si>
    <t>FAC-0173</t>
  </si>
  <si>
    <t>FAC-0174</t>
  </si>
  <si>
    <t>FAC-0175</t>
  </si>
  <si>
    <t>FAC-0176</t>
  </si>
  <si>
    <t>FAC-0177</t>
  </si>
  <si>
    <t>FAC-0178</t>
  </si>
  <si>
    <t>FAC-0179</t>
  </si>
  <si>
    <t>FAC-0180</t>
  </si>
  <si>
    <t>FAC-0181</t>
  </si>
  <si>
    <t>FAC-0182</t>
  </si>
  <si>
    <t>FAC-0183</t>
  </si>
  <si>
    <t>FAC-0184</t>
  </si>
  <si>
    <t>FAC-0185</t>
  </si>
  <si>
    <t>FAC-0186</t>
  </si>
  <si>
    <t>FAC-0187</t>
  </si>
  <si>
    <t>FAC-0188</t>
  </si>
  <si>
    <t>FAC-0189</t>
  </si>
  <si>
    <t>FAC-0190</t>
  </si>
  <si>
    <t>FAC-0191</t>
  </si>
  <si>
    <t>FAC-0192</t>
  </si>
  <si>
    <t>FAC-0193</t>
  </si>
  <si>
    <t>FAC-0194</t>
  </si>
  <si>
    <t>FAC-0195</t>
  </si>
  <si>
    <t>FAC-0196</t>
  </si>
  <si>
    <t>FAC-0197</t>
  </si>
  <si>
    <t>FAC-0198</t>
  </si>
  <si>
    <t>FAC-0199</t>
  </si>
  <si>
    <t>FAC-0200</t>
  </si>
  <si>
    <t>FAC-0201</t>
  </si>
  <si>
    <t>FAC-0202</t>
  </si>
  <si>
    <t>FAC-0203</t>
  </si>
  <si>
    <t>FAC-0204</t>
  </si>
  <si>
    <t>FAC-0205</t>
  </si>
  <si>
    <t>FAC-0206</t>
  </si>
  <si>
    <t>FAC-0207</t>
  </si>
  <si>
    <t>FAC-0208</t>
  </si>
  <si>
    <t>FAC-0209</t>
  </si>
  <si>
    <t>FAC-0210</t>
  </si>
  <si>
    <t>FAC-0211</t>
  </si>
  <si>
    <t>FAC-0212</t>
  </si>
  <si>
    <t>FAC-0213</t>
  </si>
  <si>
    <t>FAC-0214</t>
  </si>
  <si>
    <t>FAC-0215</t>
  </si>
  <si>
    <t>FAC-0216</t>
  </si>
  <si>
    <t>FAC-0217</t>
  </si>
  <si>
    <t>FAC-0218</t>
  </si>
  <si>
    <t>FAC-0219</t>
  </si>
  <si>
    <t>FAC-0220</t>
  </si>
  <si>
    <t>FAC-0221</t>
  </si>
  <si>
    <t>FAC-0222</t>
  </si>
  <si>
    <t>FAC-0223</t>
  </si>
  <si>
    <t>FAC-0224</t>
  </si>
  <si>
    <t>FAC-0225</t>
  </si>
  <si>
    <t>FAC-0226</t>
  </si>
  <si>
    <t>FAC-0227</t>
  </si>
  <si>
    <t>FAC-0228</t>
  </si>
  <si>
    <t>FAC-0229</t>
  </si>
  <si>
    <t>FAC-0230</t>
  </si>
  <si>
    <t>FAC-0231</t>
  </si>
  <si>
    <t>FAC-0232</t>
  </si>
  <si>
    <t>FAC-0233</t>
  </si>
  <si>
    <t>FAC-0234</t>
  </si>
  <si>
    <t>FAC-0235</t>
  </si>
  <si>
    <t>FAC-0236</t>
  </si>
  <si>
    <t>FAC-0237</t>
  </si>
  <si>
    <t>FAC-0238</t>
  </si>
  <si>
    <t>FAC-0239</t>
  </si>
  <si>
    <t>FAC-0240</t>
  </si>
  <si>
    <t>FAC-0241</t>
  </si>
  <si>
    <t>FAC-0242</t>
  </si>
  <si>
    <t>FAC-0243</t>
  </si>
  <si>
    <t>FAC-0244</t>
  </si>
  <si>
    <t>FAC-0245</t>
  </si>
  <si>
    <t>FAC-0246</t>
  </si>
  <si>
    <t>FAC-0247</t>
  </si>
  <si>
    <t>FAC-0248</t>
  </si>
  <si>
    <t>FAC-0249</t>
  </si>
  <si>
    <t>FAC-0250</t>
  </si>
  <si>
    <t>FAC-0251</t>
  </si>
  <si>
    <t>FAC-0252</t>
  </si>
  <si>
    <t>FAC-0253</t>
  </si>
  <si>
    <t>FAC-0254</t>
  </si>
  <si>
    <t>FAC-0255</t>
  </si>
  <si>
    <t>FAC-0256</t>
  </si>
  <si>
    <t>FAC-0257</t>
  </si>
  <si>
    <t>FAC-0258</t>
  </si>
  <si>
    <t>FAC-0259</t>
  </si>
  <si>
    <t>FAC-0260</t>
  </si>
  <si>
    <t>FAC-0261</t>
  </si>
  <si>
    <t>FAC-0262</t>
  </si>
  <si>
    <t>FAC-0263</t>
  </si>
  <si>
    <t>FAC-0264</t>
  </si>
  <si>
    <t>FAC-0265</t>
  </si>
  <si>
    <t>FAC-0266</t>
  </si>
  <si>
    <t>FAC-0267</t>
  </si>
  <si>
    <t>FAC-0268</t>
  </si>
  <si>
    <t>FAC-0269</t>
  </si>
  <si>
    <t>FAC-0270</t>
  </si>
  <si>
    <t>FAC-0271</t>
  </si>
  <si>
    <t>FAC-0272</t>
  </si>
  <si>
    <t>Table</t>
  </si>
  <si>
    <t>Colonne</t>
  </si>
  <si>
    <t>Description</t>
  </si>
  <si>
    <t>Usage principal</t>
  </si>
  <si>
    <t>Chantiers</t>
  </si>
  <si>
    <t>Identifiant unique chantier</t>
  </si>
  <si>
    <t>Relation avec coûts et factures</t>
  </si>
  <si>
    <t>Nom fictif du chantier</t>
  </si>
  <si>
    <t>Filtre de sélection</t>
  </si>
  <si>
    <t>Nom client fictif</t>
  </si>
  <si>
    <t>Tableau de relance</t>
  </si>
  <si>
    <t>Entreprise / Collectivité / Promoteur / Bailleur social / Particulier</t>
  </si>
  <si>
    <t>Analyse de délais de paiement</t>
  </si>
  <si>
    <t>Catégorie de travaux</t>
  </si>
  <si>
    <t>Analyse de marge</t>
  </si>
  <si>
    <t>Code postal du chantier</t>
  </si>
  <si>
    <t>Filtre géographique</t>
  </si>
  <si>
    <t>Ville chantier</t>
  </si>
  <si>
    <t>Confort de lecture</t>
  </si>
  <si>
    <t>Date de démarrage</t>
  </si>
  <si>
    <t>Saisonnalité</t>
  </si>
  <si>
    <t>Fin prévue</t>
  </si>
  <si>
    <t>Écart planning</t>
  </si>
  <si>
    <t>Fin réelle</t>
  </si>
  <si>
    <t>CA prévu au lancement</t>
  </si>
  <si>
    <t>Prévu vs réalisé</t>
  </si>
  <si>
    <t>CA final chantier</t>
  </si>
  <si>
    <t>Base de calcul EBE</t>
  </si>
  <si>
    <t>Couts</t>
  </si>
  <si>
    <t>Identifiant ligne de coût</t>
  </si>
  <si>
    <t>Clé technique</t>
  </si>
  <si>
    <t>Référence chantier</t>
  </si>
  <si>
    <t>Relation vers Chantiers</t>
  </si>
  <si>
    <t>Date d'enregistrement du coût</t>
  </si>
  <si>
    <t>Suivi sorties de trésorerie</t>
  </si>
  <si>
    <t>Achats / Charges externes / Personnel</t>
  </si>
  <si>
    <t>Cascade EBE</t>
  </si>
  <si>
    <t>Montant du coût</t>
  </si>
  <si>
    <t>Agrégation des dépenses</t>
  </si>
  <si>
    <t>Factures</t>
  </si>
  <si>
    <t>Identifiant facture</t>
  </si>
  <si>
    <t>Date d'émission</t>
  </si>
  <si>
    <t>CA / facturation</t>
  </si>
  <si>
    <t>Date de paiement attendue</t>
  </si>
  <si>
    <t>Retards / relances</t>
  </si>
  <si>
    <t>Montant HT facturé</t>
  </si>
  <si>
    <t>CA / encours</t>
  </si>
  <si>
    <t>Date réelle de paiement (vide = impayé)</t>
  </si>
  <si>
    <t>Encaissement / trésorerie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</si>
</sst>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E7E6E6"/>
      </patternFill>
    </fill>
    <fill>
      <patternFill patternType="solid">
        <fgColor rgb="FFF8FBFF"/>
      </patternFill>
    </fill>
    <fill>
      <patternFill patternType="solid">
        <fgColor rgb="FF1F4E78"/>
      </patternFill>
    </fill>
    <fill>
      <patternFill patternType="solid">
        <fgColor rgb="FFDAF2D0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8" fontId="0" fillId="0" borderId="1" xfId="0" applyNumberFormat="1" applyBorder="1"/>
    <xf numFmtId="0" fontId="2" fillId="0" borderId="1" xfId="0" applyFont="1" applyBorder="1"/>
    <xf numFmtId="38" fontId="2" fillId="6" borderId="1" xfId="0" applyNumberFormat="1" applyFont="1" applyFill="1" applyBorder="1"/>
    <xf numFmtId="164" fontId="0" fillId="0" borderId="1" xfId="0" applyNumberFormat="1" applyBorder="1"/>
    <xf numFmtId="0" fontId="2" fillId="7" borderId="1" xfId="0" applyFont="1" applyFill="1" applyBorder="1"/>
    <xf numFmtId="0" fontId="3" fillId="2" borderId="0" xfId="0" applyFont="1" applyFill="1" applyAlignment="1">
      <alignment horizontal="center" vertical="center"/>
    </xf>
    <xf numFmtId="14" fontId="0" fillId="0" borderId="1" xfId="0" applyNumberFormat="1" applyBorder="1"/>
    <xf numFmtId="0" fontId="3" fillId="2" borderId="0" xfId="0" applyFont="1" applyFill="1"/>
    <xf numFmtId="0" fontId="1" fillId="2" borderId="0" xfId="0" applyFont="1" applyFill="1"/>
    <xf numFmtId="0" fontId="0" fillId="0" borderId="0" xfId="0"/>
    <xf numFmtId="0" fontId="3" fillId="5" borderId="1" xfId="0" applyFont="1" applyFill="1" applyBorder="1"/>
    <xf numFmtId="0" fontId="0" fillId="0" borderId="2" xfId="0" applyBorder="1"/>
  </cellXfs>
  <cellStyles count="1">
    <cellStyle name="Normal" xfId="0" builtinId="0"/>
  </cellStyles>
  <dxfs count="1"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/>
  </sheetViews>
  <sheetFormatPr baseColWidth="10" defaultColWidth="9.140625" defaultRowHeight="15" x14ac:dyDescent="0.25"/>
  <cols>
    <col min="1" max="1" width="36" customWidth="1"/>
    <col min="2" max="2" width="18" customWidth="1"/>
    <col min="3" max="3" width="28" customWidth="1"/>
    <col min="4" max="4" width="16" customWidth="1"/>
  </cols>
  <sheetData>
    <row r="1" spans="1:4" ht="18.75" x14ac:dyDescent="0.3">
      <c r="A1" s="14" t="s">
        <v>0</v>
      </c>
      <c r="B1" s="15"/>
      <c r="C1" s="15"/>
      <c r="D1" s="15"/>
    </row>
    <row r="3" spans="1:4" x14ac:dyDescent="0.25">
      <c r="A3" s="1" t="s">
        <v>1</v>
      </c>
      <c r="B3" s="2">
        <v>46104</v>
      </c>
    </row>
    <row r="4" spans="1:4" x14ac:dyDescent="0.25">
      <c r="A4" s="1" t="s">
        <v>2</v>
      </c>
      <c r="B4" s="3" t="s">
        <v>3</v>
      </c>
    </row>
    <row r="5" spans="1:4" x14ac:dyDescent="0.25">
      <c r="A5" s="1" t="s">
        <v>4</v>
      </c>
      <c r="B5" s="3" t="s">
        <v>5</v>
      </c>
    </row>
    <row r="6" spans="1:4" x14ac:dyDescent="0.25">
      <c r="A6" s="1" t="s">
        <v>6</v>
      </c>
      <c r="B6" s="3" t="s">
        <v>7</v>
      </c>
    </row>
    <row r="8" spans="1:4" x14ac:dyDescent="0.25">
      <c r="A8" s="16" t="s">
        <v>8</v>
      </c>
      <c r="B8" s="17"/>
      <c r="C8" s="17"/>
      <c r="D8" s="17"/>
    </row>
    <row r="9" spans="1:4" x14ac:dyDescent="0.25">
      <c r="A9" s="4" t="s">
        <v>9</v>
      </c>
      <c r="B9" s="4">
        <v>2023</v>
      </c>
      <c r="C9" s="4">
        <v>2024</v>
      </c>
      <c r="D9" s="4">
        <v>2025</v>
      </c>
    </row>
    <row r="10" spans="1:4" x14ac:dyDescent="0.25">
      <c r="A10" s="5" t="s">
        <v>10</v>
      </c>
      <c r="B10" s="6">
        <f>SUMIFS(Chantiers!$L:$L,Chantiers!$M:$M,2023)</f>
        <v>2153400</v>
      </c>
      <c r="C10" s="6">
        <f>SUMIFS(Chantiers!$L:$L,Chantiers!$M:$M,2024)</f>
        <v>4091600</v>
      </c>
      <c r="D10" s="6">
        <f>SUMIFS(Chantiers!$L:$L,Chantiers!$M:$M,2025)</f>
        <v>6313500</v>
      </c>
    </row>
    <row r="11" spans="1:4" x14ac:dyDescent="0.25">
      <c r="A11" s="5" t="s">
        <v>11</v>
      </c>
      <c r="B11" s="6">
        <f>SUMIFS(Couts!$E:$E,Couts!$D:$D,"Achats",Couts!$F:$F,2023)</f>
        <v>948156</v>
      </c>
      <c r="C11" s="6">
        <f>SUMIFS(Couts!$E:$E,Couts!$D:$D,"Achats",Couts!$F:$F,2024)</f>
        <v>1816236</v>
      </c>
      <c r="D11" s="6">
        <f>SUMIFS(Couts!$E:$E,Couts!$D:$D,"Achats",Couts!$F:$F,2025)</f>
        <v>2910028</v>
      </c>
    </row>
    <row r="12" spans="1:4" x14ac:dyDescent="0.25">
      <c r="A12" s="5" t="s">
        <v>12</v>
      </c>
      <c r="B12" s="6">
        <f>SUMIFS(Couts!$E:$E,Couts!$D:$D,"Charges externes",Couts!$F:$F,2023)</f>
        <v>277085</v>
      </c>
      <c r="C12" s="6">
        <f>SUMIFS(Couts!$E:$E,Couts!$D:$D,"Charges externes",Couts!$F:$F,2024)</f>
        <v>703271</v>
      </c>
      <c r="D12" s="6">
        <f>SUMIFS(Couts!$E:$E,Couts!$D:$D,"Charges externes",Couts!$F:$F,2025)</f>
        <v>1360828</v>
      </c>
    </row>
    <row r="13" spans="1:4" x14ac:dyDescent="0.25">
      <c r="A13" s="5" t="s">
        <v>13</v>
      </c>
      <c r="B13" s="6">
        <f>SUMIFS(Couts!$E:$E,Couts!$D:$D,"Personnel",Couts!$F:$F,2023)</f>
        <v>539938</v>
      </c>
      <c r="C13" s="6">
        <f>SUMIFS(Couts!$E:$E,Couts!$D:$D,"Personnel",Couts!$F:$F,2024)</f>
        <v>1154793</v>
      </c>
      <c r="D13" s="6">
        <f>SUMIFS(Couts!$E:$E,Couts!$D:$D,"Personnel",Couts!$F:$F,2025)</f>
        <v>1887356</v>
      </c>
    </row>
    <row r="14" spans="1:4" x14ac:dyDescent="0.25">
      <c r="A14" s="7" t="s">
        <v>14</v>
      </c>
      <c r="B14" s="8">
        <f>B10-SUM(B11:B13)</f>
        <v>388221</v>
      </c>
      <c r="C14" s="8">
        <f>C10-SUM(C11:C13)</f>
        <v>417300</v>
      </c>
      <c r="D14" s="8">
        <f>D10-SUM(D11:D13)</f>
        <v>155288</v>
      </c>
    </row>
    <row r="15" spans="1:4" x14ac:dyDescent="0.25">
      <c r="A15" s="7" t="s">
        <v>15</v>
      </c>
      <c r="B15" s="9">
        <f>IFERROR(B14/B10,0)</f>
        <v>0.18028280858177764</v>
      </c>
      <c r="C15" s="9">
        <f>IFERROR(C14/C10,0)</f>
        <v>0.1019894417831655</v>
      </c>
      <c r="D15" s="9">
        <f>IFERROR(D14/D10,0)</f>
        <v>2.4596182782925476E-2</v>
      </c>
    </row>
    <row r="18" spans="1:4" x14ac:dyDescent="0.25">
      <c r="A18" s="16" t="s">
        <v>16</v>
      </c>
      <c r="B18" s="17"/>
      <c r="C18" s="17"/>
    </row>
    <row r="19" spans="1:4" x14ac:dyDescent="0.25">
      <c r="A19" s="4" t="s">
        <v>9</v>
      </c>
      <c r="B19" s="4" t="s">
        <v>17</v>
      </c>
      <c r="C19" s="4" t="s">
        <v>18</v>
      </c>
    </row>
    <row r="20" spans="1:4" x14ac:dyDescent="0.25">
      <c r="A20" s="7" t="s">
        <v>19</v>
      </c>
      <c r="B20" s="6">
        <f>SUMIFS(Factures!$E:$E,Factures!$F:$F,"&lt;="&amp;$B$3)</f>
        <v>12006975</v>
      </c>
      <c r="C20" s="5" t="s">
        <v>20</v>
      </c>
    </row>
    <row r="21" spans="1:4" x14ac:dyDescent="0.25">
      <c r="A21" s="7" t="s">
        <v>21</v>
      </c>
      <c r="B21" s="6">
        <f>SUM(Factures!$I$2:$I$273)</f>
        <v>551525</v>
      </c>
      <c r="C21" s="5" t="s">
        <v>22</v>
      </c>
    </row>
    <row r="22" spans="1:4" x14ac:dyDescent="0.25">
      <c r="A22" s="10" t="s">
        <v>23</v>
      </c>
      <c r="B22" s="6">
        <f>SUM(Factures!$H$2:$H$273)</f>
        <v>14</v>
      </c>
      <c r="C22" s="5" t="s">
        <v>24</v>
      </c>
    </row>
    <row r="23" spans="1:4" x14ac:dyDescent="0.25">
      <c r="A23" s="10" t="s">
        <v>25</v>
      </c>
      <c r="B23" s="6">
        <f>SUM(Factures!$J$2:$J$273)</f>
        <v>551525</v>
      </c>
      <c r="C23" s="5" t="s">
        <v>26</v>
      </c>
    </row>
    <row r="26" spans="1:4" x14ac:dyDescent="0.25">
      <c r="A26" s="16" t="s">
        <v>27</v>
      </c>
      <c r="B26" s="17"/>
      <c r="C26" s="17"/>
      <c r="D26" s="17"/>
    </row>
    <row r="27" spans="1:4" x14ac:dyDescent="0.25">
      <c r="A27" s="5" t="s">
        <v>28</v>
      </c>
    </row>
    <row r="28" spans="1:4" x14ac:dyDescent="0.25">
      <c r="A28" s="5" t="s">
        <v>29</v>
      </c>
    </row>
    <row r="29" spans="1:4" x14ac:dyDescent="0.25">
      <c r="A29" s="5" t="s">
        <v>30</v>
      </c>
    </row>
    <row r="30" spans="1:4" x14ac:dyDescent="0.25">
      <c r="A30" s="5" t="s">
        <v>31</v>
      </c>
    </row>
  </sheetData>
  <mergeCells count="4">
    <mergeCell ref="A1:D1"/>
    <mergeCell ref="A26:D26"/>
    <mergeCell ref="A8:D8"/>
    <mergeCell ref="A18:C18"/>
  </mergeCells>
  <conditionalFormatting sqref="B15:D15">
    <cfRule type="expression" dxfId="0" priority="1">
      <formula>B15&lt;0.08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1"/>
  <sheetViews>
    <sheetView workbookViewId="0"/>
  </sheetViews>
  <sheetFormatPr baseColWidth="10" defaultColWidth="9.140625" defaultRowHeight="15" x14ac:dyDescent="0.25"/>
  <cols>
    <col min="1" max="1" width="13" customWidth="1"/>
    <col min="2" max="2" width="32" customWidth="1"/>
    <col min="3" max="3" width="26" customWidth="1"/>
    <col min="4" max="4" width="17" customWidth="1"/>
    <col min="5" max="5" width="25" customWidth="1"/>
    <col min="6" max="6" width="13" customWidth="1"/>
    <col min="7" max="7" width="26" customWidth="1"/>
    <col min="8" max="8" width="12" customWidth="1"/>
    <col min="9" max="10" width="17" customWidth="1"/>
    <col min="11" max="11" width="13" customWidth="1"/>
    <col min="12" max="12" width="15" customWidth="1"/>
    <col min="13" max="13" width="13" hidden="1" customWidth="1"/>
  </cols>
  <sheetData>
    <row r="1" spans="1:13" x14ac:dyDescent="0.25">
      <c r="A1" s="11" t="s">
        <v>32</v>
      </c>
      <c r="B1" s="11" t="s">
        <v>33</v>
      </c>
      <c r="C1" s="11" t="s">
        <v>34</v>
      </c>
      <c r="D1" s="11" t="s">
        <v>35</v>
      </c>
      <c r="E1" s="11" t="s">
        <v>36</v>
      </c>
      <c r="F1" s="11" t="s">
        <v>37</v>
      </c>
      <c r="G1" s="11" t="s">
        <v>38</v>
      </c>
      <c r="H1" s="11" t="s">
        <v>39</v>
      </c>
      <c r="I1" s="11" t="s">
        <v>40</v>
      </c>
      <c r="J1" s="11" t="s">
        <v>41</v>
      </c>
      <c r="K1" s="11" t="s">
        <v>42</v>
      </c>
      <c r="L1" s="11" t="s">
        <v>43</v>
      </c>
      <c r="M1" s="11" t="s">
        <v>44</v>
      </c>
    </row>
    <row r="2" spans="1:13" x14ac:dyDescent="0.25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12">
        <v>45128</v>
      </c>
      <c r="I2" s="12">
        <v>45151</v>
      </c>
      <c r="J2" s="12">
        <v>45148</v>
      </c>
      <c r="K2" s="6">
        <v>44600</v>
      </c>
      <c r="L2" s="6">
        <v>43700</v>
      </c>
      <c r="M2" s="5">
        <v>2023</v>
      </c>
    </row>
    <row r="3" spans="1:13" x14ac:dyDescent="0.25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12">
        <v>45218</v>
      </c>
      <c r="I3" s="12">
        <v>45342</v>
      </c>
      <c r="J3" s="12">
        <v>45340</v>
      </c>
      <c r="K3" s="6">
        <v>147300</v>
      </c>
      <c r="L3" s="6">
        <v>145300</v>
      </c>
      <c r="M3" s="5">
        <v>2023</v>
      </c>
    </row>
    <row r="4" spans="1:13" x14ac:dyDescent="0.25">
      <c r="A4" s="5" t="s">
        <v>59</v>
      </c>
      <c r="B4" s="5" t="s">
        <v>60</v>
      </c>
      <c r="C4" s="5" t="s">
        <v>61</v>
      </c>
      <c r="D4" s="5" t="s">
        <v>62</v>
      </c>
      <c r="E4" s="5" t="s">
        <v>63</v>
      </c>
      <c r="F4" s="5" t="s">
        <v>57</v>
      </c>
      <c r="G4" s="5" t="s">
        <v>58</v>
      </c>
      <c r="H4" s="12">
        <v>45267</v>
      </c>
      <c r="I4" s="12">
        <v>45337</v>
      </c>
      <c r="J4" s="12">
        <v>45351</v>
      </c>
      <c r="K4" s="6">
        <v>64400</v>
      </c>
      <c r="L4" s="6">
        <v>65100</v>
      </c>
      <c r="M4" s="5">
        <v>2023</v>
      </c>
    </row>
    <row r="5" spans="1:13" x14ac:dyDescent="0.25">
      <c r="A5" s="5" t="s">
        <v>64</v>
      </c>
      <c r="B5" s="5" t="s">
        <v>65</v>
      </c>
      <c r="C5" s="5" t="s">
        <v>66</v>
      </c>
      <c r="D5" s="5" t="s">
        <v>67</v>
      </c>
      <c r="E5" s="5" t="s">
        <v>56</v>
      </c>
      <c r="F5" s="5" t="s">
        <v>68</v>
      </c>
      <c r="G5" s="5" t="s">
        <v>69</v>
      </c>
      <c r="H5" s="12">
        <v>45027</v>
      </c>
      <c r="I5" s="12">
        <v>45132</v>
      </c>
      <c r="J5" s="12">
        <v>45133</v>
      </c>
      <c r="K5" s="6">
        <v>116800</v>
      </c>
      <c r="L5" s="6">
        <v>114100</v>
      </c>
      <c r="M5" s="5">
        <v>2023</v>
      </c>
    </row>
    <row r="6" spans="1:13" x14ac:dyDescent="0.25">
      <c r="A6" s="5" t="s">
        <v>70</v>
      </c>
      <c r="B6" s="5" t="s">
        <v>71</v>
      </c>
      <c r="C6" s="5" t="s">
        <v>72</v>
      </c>
      <c r="D6" s="5" t="s">
        <v>55</v>
      </c>
      <c r="E6" s="5" t="s">
        <v>73</v>
      </c>
      <c r="F6" s="5" t="s">
        <v>74</v>
      </c>
      <c r="G6" s="5" t="s">
        <v>75</v>
      </c>
      <c r="H6" s="12">
        <v>45066</v>
      </c>
      <c r="I6" s="12">
        <v>45102</v>
      </c>
      <c r="J6" s="12">
        <v>45100</v>
      </c>
      <c r="K6" s="6">
        <v>33200</v>
      </c>
      <c r="L6" s="6">
        <v>34500</v>
      </c>
      <c r="M6" s="5">
        <v>2023</v>
      </c>
    </row>
    <row r="7" spans="1:13" x14ac:dyDescent="0.25">
      <c r="A7" s="5" t="s">
        <v>76</v>
      </c>
      <c r="B7" s="5" t="s">
        <v>77</v>
      </c>
      <c r="C7" s="5" t="s">
        <v>78</v>
      </c>
      <c r="D7" s="5" t="s">
        <v>62</v>
      </c>
      <c r="E7" s="5" t="s">
        <v>56</v>
      </c>
      <c r="F7" s="5" t="s">
        <v>79</v>
      </c>
      <c r="G7" s="5" t="s">
        <v>80</v>
      </c>
      <c r="H7" s="12">
        <v>45073</v>
      </c>
      <c r="I7" s="12">
        <v>45189</v>
      </c>
      <c r="J7" s="12">
        <v>45204</v>
      </c>
      <c r="K7" s="6">
        <v>102000</v>
      </c>
      <c r="L7" s="6">
        <v>103700</v>
      </c>
      <c r="M7" s="5">
        <v>2023</v>
      </c>
    </row>
    <row r="8" spans="1:13" x14ac:dyDescent="0.25">
      <c r="A8" s="5" t="s">
        <v>81</v>
      </c>
      <c r="B8" s="5" t="s">
        <v>82</v>
      </c>
      <c r="C8" s="5" t="s">
        <v>83</v>
      </c>
      <c r="D8" s="5" t="s">
        <v>48</v>
      </c>
      <c r="E8" s="5" t="s">
        <v>84</v>
      </c>
      <c r="F8" s="5" t="s">
        <v>68</v>
      </c>
      <c r="G8" s="5" t="s">
        <v>69</v>
      </c>
      <c r="H8" s="12">
        <v>45105</v>
      </c>
      <c r="I8" s="12">
        <v>45131</v>
      </c>
      <c r="J8" s="12">
        <v>45140</v>
      </c>
      <c r="K8" s="6">
        <v>128300</v>
      </c>
      <c r="L8" s="6">
        <v>131900</v>
      </c>
      <c r="M8" s="5">
        <v>2023</v>
      </c>
    </row>
    <row r="9" spans="1:13" x14ac:dyDescent="0.25">
      <c r="A9" s="5" t="s">
        <v>85</v>
      </c>
      <c r="B9" s="5" t="s">
        <v>86</v>
      </c>
      <c r="C9" s="5" t="s">
        <v>87</v>
      </c>
      <c r="D9" s="5" t="s">
        <v>62</v>
      </c>
      <c r="E9" s="5" t="s">
        <v>56</v>
      </c>
      <c r="F9" s="5" t="s">
        <v>88</v>
      </c>
      <c r="G9" s="5" t="s">
        <v>89</v>
      </c>
      <c r="H9" s="12">
        <v>45023</v>
      </c>
      <c r="I9" s="12">
        <v>45127</v>
      </c>
      <c r="J9" s="12">
        <v>45126</v>
      </c>
      <c r="K9" s="6">
        <v>154200</v>
      </c>
      <c r="L9" s="6">
        <v>151300</v>
      </c>
      <c r="M9" s="5">
        <v>2023</v>
      </c>
    </row>
    <row r="10" spans="1:13" x14ac:dyDescent="0.25">
      <c r="A10" s="5" t="s">
        <v>90</v>
      </c>
      <c r="B10" s="5" t="s">
        <v>91</v>
      </c>
      <c r="C10" s="5" t="s">
        <v>92</v>
      </c>
      <c r="D10" s="5" t="s">
        <v>55</v>
      </c>
      <c r="E10" s="5" t="s">
        <v>49</v>
      </c>
      <c r="F10" s="5" t="s">
        <v>93</v>
      </c>
      <c r="G10" s="5" t="s">
        <v>94</v>
      </c>
      <c r="H10" s="12">
        <v>45207</v>
      </c>
      <c r="I10" s="12">
        <v>45248</v>
      </c>
      <c r="J10" s="12">
        <v>45255</v>
      </c>
      <c r="K10" s="6">
        <v>83900</v>
      </c>
      <c r="L10" s="6">
        <v>81600</v>
      </c>
      <c r="M10" s="5">
        <v>2023</v>
      </c>
    </row>
    <row r="11" spans="1:13" x14ac:dyDescent="0.25">
      <c r="A11" s="5" t="s">
        <v>95</v>
      </c>
      <c r="B11" s="5" t="s">
        <v>96</v>
      </c>
      <c r="C11" s="5" t="s">
        <v>97</v>
      </c>
      <c r="D11" s="5" t="s">
        <v>55</v>
      </c>
      <c r="E11" s="5" t="s">
        <v>56</v>
      </c>
      <c r="F11" s="5" t="s">
        <v>98</v>
      </c>
      <c r="G11" s="5" t="s">
        <v>99</v>
      </c>
      <c r="H11" s="12">
        <v>45080</v>
      </c>
      <c r="I11" s="12">
        <v>45177</v>
      </c>
      <c r="J11" s="12">
        <v>45192</v>
      </c>
      <c r="K11" s="6">
        <v>220900</v>
      </c>
      <c r="L11" s="6">
        <v>220400</v>
      </c>
      <c r="M11" s="5">
        <v>2023</v>
      </c>
    </row>
    <row r="12" spans="1:13" x14ac:dyDescent="0.25">
      <c r="A12" s="5" t="s">
        <v>100</v>
      </c>
      <c r="B12" s="5" t="s">
        <v>101</v>
      </c>
      <c r="C12" s="5" t="s">
        <v>102</v>
      </c>
      <c r="D12" s="5" t="s">
        <v>55</v>
      </c>
      <c r="E12" s="5" t="s">
        <v>103</v>
      </c>
      <c r="F12" s="5" t="s">
        <v>57</v>
      </c>
      <c r="G12" s="5" t="s">
        <v>58</v>
      </c>
      <c r="H12" s="12">
        <v>45235</v>
      </c>
      <c r="I12" s="12">
        <v>45366</v>
      </c>
      <c r="J12" s="12">
        <v>45389</v>
      </c>
      <c r="K12" s="6">
        <v>252300</v>
      </c>
      <c r="L12" s="6">
        <v>260600</v>
      </c>
      <c r="M12" s="5">
        <v>2023</v>
      </c>
    </row>
    <row r="13" spans="1:13" x14ac:dyDescent="0.25">
      <c r="A13" s="5" t="s">
        <v>104</v>
      </c>
      <c r="B13" s="5" t="s">
        <v>105</v>
      </c>
      <c r="C13" s="5" t="s">
        <v>106</v>
      </c>
      <c r="D13" s="5" t="s">
        <v>55</v>
      </c>
      <c r="E13" s="5" t="s">
        <v>63</v>
      </c>
      <c r="F13" s="5" t="s">
        <v>79</v>
      </c>
      <c r="G13" s="5" t="s">
        <v>80</v>
      </c>
      <c r="H13" s="12">
        <v>45112</v>
      </c>
      <c r="I13" s="12">
        <v>45169</v>
      </c>
      <c r="J13" s="12">
        <v>45181</v>
      </c>
      <c r="K13" s="6">
        <v>91400</v>
      </c>
      <c r="L13" s="6">
        <v>89400</v>
      </c>
      <c r="M13" s="5">
        <v>2023</v>
      </c>
    </row>
    <row r="14" spans="1:13" x14ac:dyDescent="0.25">
      <c r="A14" s="5" t="s">
        <v>107</v>
      </c>
      <c r="B14" s="5" t="s">
        <v>108</v>
      </c>
      <c r="C14" s="5" t="s">
        <v>47</v>
      </c>
      <c r="D14" s="5" t="s">
        <v>48</v>
      </c>
      <c r="E14" s="5" t="s">
        <v>56</v>
      </c>
      <c r="F14" s="5" t="s">
        <v>93</v>
      </c>
      <c r="G14" s="5" t="s">
        <v>94</v>
      </c>
      <c r="H14" s="12">
        <v>45182</v>
      </c>
      <c r="I14" s="12">
        <v>45300</v>
      </c>
      <c r="J14" s="12">
        <v>45311</v>
      </c>
      <c r="K14" s="6">
        <v>93000</v>
      </c>
      <c r="L14" s="6">
        <v>94600</v>
      </c>
      <c r="M14" s="5">
        <v>2023</v>
      </c>
    </row>
    <row r="15" spans="1:13" x14ac:dyDescent="0.25">
      <c r="A15" s="5" t="s">
        <v>109</v>
      </c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88</v>
      </c>
      <c r="G15" s="5" t="s">
        <v>89</v>
      </c>
      <c r="H15" s="12">
        <v>45255</v>
      </c>
      <c r="I15" s="12">
        <v>45296</v>
      </c>
      <c r="J15" s="12">
        <v>45296</v>
      </c>
      <c r="K15" s="6">
        <v>35400</v>
      </c>
      <c r="L15" s="6">
        <v>35500</v>
      </c>
      <c r="M15" s="5">
        <v>2023</v>
      </c>
    </row>
    <row r="16" spans="1:13" x14ac:dyDescent="0.25">
      <c r="A16" s="5" t="s">
        <v>114</v>
      </c>
      <c r="B16" s="5" t="s">
        <v>53</v>
      </c>
      <c r="C16" s="5" t="s">
        <v>115</v>
      </c>
      <c r="D16" s="5" t="s">
        <v>55</v>
      </c>
      <c r="E16" s="5" t="s">
        <v>56</v>
      </c>
      <c r="F16" s="5" t="s">
        <v>57</v>
      </c>
      <c r="G16" s="5" t="s">
        <v>58</v>
      </c>
      <c r="H16" s="12">
        <v>45063</v>
      </c>
      <c r="I16" s="12">
        <v>45146</v>
      </c>
      <c r="J16" s="12">
        <v>45152</v>
      </c>
      <c r="K16" s="6">
        <v>188000</v>
      </c>
      <c r="L16" s="6">
        <v>192400</v>
      </c>
      <c r="M16" s="5">
        <v>2023</v>
      </c>
    </row>
    <row r="17" spans="1:13" x14ac:dyDescent="0.25">
      <c r="A17" s="5" t="s">
        <v>116</v>
      </c>
      <c r="B17" s="5" t="s">
        <v>117</v>
      </c>
      <c r="C17" s="5" t="s">
        <v>118</v>
      </c>
      <c r="D17" s="5" t="s">
        <v>48</v>
      </c>
      <c r="E17" s="5" t="s">
        <v>119</v>
      </c>
      <c r="F17" s="5" t="s">
        <v>120</v>
      </c>
      <c r="G17" s="5" t="s">
        <v>121</v>
      </c>
      <c r="H17" s="12">
        <v>45057</v>
      </c>
      <c r="I17" s="12">
        <v>45199</v>
      </c>
      <c r="J17" s="12">
        <v>45199</v>
      </c>
      <c r="K17" s="6">
        <v>160600</v>
      </c>
      <c r="L17" s="6">
        <v>158500</v>
      </c>
      <c r="M17" s="5">
        <v>2023</v>
      </c>
    </row>
    <row r="18" spans="1:13" x14ac:dyDescent="0.25">
      <c r="A18" s="5" t="s">
        <v>122</v>
      </c>
      <c r="B18" s="5" t="s">
        <v>123</v>
      </c>
      <c r="C18" s="5" t="s">
        <v>124</v>
      </c>
      <c r="D18" s="5" t="s">
        <v>55</v>
      </c>
      <c r="E18" s="5" t="s">
        <v>73</v>
      </c>
      <c r="F18" s="5" t="s">
        <v>125</v>
      </c>
      <c r="G18" s="5" t="s">
        <v>126</v>
      </c>
      <c r="H18" s="12">
        <v>45223</v>
      </c>
      <c r="I18" s="12">
        <v>45274</v>
      </c>
      <c r="J18" s="12">
        <v>45273</v>
      </c>
      <c r="K18" s="6">
        <v>68200</v>
      </c>
      <c r="L18" s="6">
        <v>68400</v>
      </c>
      <c r="M18" s="5">
        <v>2023</v>
      </c>
    </row>
    <row r="19" spans="1:13" x14ac:dyDescent="0.25">
      <c r="A19" s="5" t="s">
        <v>127</v>
      </c>
      <c r="B19" s="5" t="s">
        <v>128</v>
      </c>
      <c r="C19" s="5" t="s">
        <v>129</v>
      </c>
      <c r="D19" s="5" t="s">
        <v>55</v>
      </c>
      <c r="E19" s="5" t="s">
        <v>130</v>
      </c>
      <c r="F19" s="5" t="s">
        <v>131</v>
      </c>
      <c r="G19" s="5" t="s">
        <v>132</v>
      </c>
      <c r="H19" s="12">
        <v>45033</v>
      </c>
      <c r="I19" s="12">
        <v>45118</v>
      </c>
      <c r="J19" s="12">
        <v>45128</v>
      </c>
      <c r="K19" s="6">
        <v>159000</v>
      </c>
      <c r="L19" s="6">
        <v>162400</v>
      </c>
      <c r="M19" s="5">
        <v>2023</v>
      </c>
    </row>
    <row r="20" spans="1:13" x14ac:dyDescent="0.25">
      <c r="A20" s="5" t="s">
        <v>133</v>
      </c>
      <c r="B20" s="5" t="s">
        <v>134</v>
      </c>
      <c r="C20" s="5" t="s">
        <v>135</v>
      </c>
      <c r="D20" s="5" t="s">
        <v>55</v>
      </c>
      <c r="E20" s="5" t="s">
        <v>136</v>
      </c>
      <c r="F20" s="5" t="s">
        <v>50</v>
      </c>
      <c r="G20" s="5" t="s">
        <v>51</v>
      </c>
      <c r="H20" s="12">
        <v>45557</v>
      </c>
      <c r="I20" s="12">
        <v>45592</v>
      </c>
      <c r="J20" s="12">
        <v>45603</v>
      </c>
      <c r="K20" s="6">
        <v>52300</v>
      </c>
      <c r="L20" s="6">
        <v>51800</v>
      </c>
      <c r="M20" s="5">
        <v>2024</v>
      </c>
    </row>
    <row r="21" spans="1:13" x14ac:dyDescent="0.25">
      <c r="A21" s="5" t="s">
        <v>137</v>
      </c>
      <c r="B21" s="5" t="s">
        <v>138</v>
      </c>
      <c r="C21" s="5" t="s">
        <v>139</v>
      </c>
      <c r="D21" s="5" t="s">
        <v>67</v>
      </c>
      <c r="E21" s="5" t="s">
        <v>56</v>
      </c>
      <c r="F21" s="5" t="s">
        <v>74</v>
      </c>
      <c r="G21" s="5" t="s">
        <v>140</v>
      </c>
      <c r="H21" s="12">
        <v>45352</v>
      </c>
      <c r="I21" s="12">
        <v>45492</v>
      </c>
      <c r="J21" s="12">
        <v>45499</v>
      </c>
      <c r="K21" s="6">
        <v>119500</v>
      </c>
      <c r="L21" s="6">
        <v>123900</v>
      </c>
      <c r="M21" s="5">
        <v>2024</v>
      </c>
    </row>
    <row r="22" spans="1:13" x14ac:dyDescent="0.25">
      <c r="A22" s="5" t="s">
        <v>141</v>
      </c>
      <c r="B22" s="5" t="s">
        <v>142</v>
      </c>
      <c r="C22" s="5" t="s">
        <v>143</v>
      </c>
      <c r="D22" s="5" t="s">
        <v>67</v>
      </c>
      <c r="E22" s="5" t="s">
        <v>73</v>
      </c>
      <c r="F22" s="5" t="s">
        <v>79</v>
      </c>
      <c r="G22" s="5" t="s">
        <v>80</v>
      </c>
      <c r="H22" s="12">
        <v>45351</v>
      </c>
      <c r="I22" s="12">
        <v>45373</v>
      </c>
      <c r="J22" s="12">
        <v>45383</v>
      </c>
      <c r="K22" s="6">
        <v>44700</v>
      </c>
      <c r="L22" s="6">
        <v>44800</v>
      </c>
      <c r="M22" s="5">
        <v>2024</v>
      </c>
    </row>
    <row r="23" spans="1:13" x14ac:dyDescent="0.25">
      <c r="A23" s="5" t="s">
        <v>144</v>
      </c>
      <c r="B23" s="5" t="s">
        <v>145</v>
      </c>
      <c r="C23" s="5" t="s">
        <v>135</v>
      </c>
      <c r="D23" s="5" t="s">
        <v>55</v>
      </c>
      <c r="E23" s="5" t="s">
        <v>119</v>
      </c>
      <c r="F23" s="5" t="s">
        <v>50</v>
      </c>
      <c r="G23" s="5" t="s">
        <v>51</v>
      </c>
      <c r="H23" s="12">
        <v>45528</v>
      </c>
      <c r="I23" s="12">
        <v>45681</v>
      </c>
      <c r="J23" s="12">
        <v>45714</v>
      </c>
      <c r="K23" s="6">
        <v>224400</v>
      </c>
      <c r="L23" s="6">
        <v>234400</v>
      </c>
      <c r="M23" s="5">
        <v>2024</v>
      </c>
    </row>
    <row r="24" spans="1:13" x14ac:dyDescent="0.25">
      <c r="A24" s="5" t="s">
        <v>146</v>
      </c>
      <c r="B24" s="5" t="s">
        <v>147</v>
      </c>
      <c r="C24" s="5" t="s">
        <v>148</v>
      </c>
      <c r="D24" s="5" t="s">
        <v>67</v>
      </c>
      <c r="E24" s="5" t="s">
        <v>103</v>
      </c>
      <c r="F24" s="5" t="s">
        <v>57</v>
      </c>
      <c r="G24" s="5" t="s">
        <v>58</v>
      </c>
      <c r="H24" s="12">
        <v>45547</v>
      </c>
      <c r="I24" s="12">
        <v>45701</v>
      </c>
      <c r="J24" s="12">
        <v>45714</v>
      </c>
      <c r="K24" s="6">
        <v>348200</v>
      </c>
      <c r="L24" s="6">
        <v>359400</v>
      </c>
      <c r="M24" s="5">
        <v>2024</v>
      </c>
    </row>
    <row r="25" spans="1:13" x14ac:dyDescent="0.25">
      <c r="A25" s="5" t="s">
        <v>149</v>
      </c>
      <c r="B25" s="5" t="s">
        <v>150</v>
      </c>
      <c r="C25" s="5" t="s">
        <v>151</v>
      </c>
      <c r="D25" s="5" t="s">
        <v>67</v>
      </c>
      <c r="E25" s="5" t="s">
        <v>73</v>
      </c>
      <c r="F25" s="5" t="s">
        <v>131</v>
      </c>
      <c r="G25" s="5" t="s">
        <v>132</v>
      </c>
      <c r="H25" s="12">
        <v>45467</v>
      </c>
      <c r="I25" s="12">
        <v>45508</v>
      </c>
      <c r="J25" s="12">
        <v>45511</v>
      </c>
      <c r="K25" s="6">
        <v>41200</v>
      </c>
      <c r="L25" s="6">
        <v>42100</v>
      </c>
      <c r="M25" s="5">
        <v>2024</v>
      </c>
    </row>
    <row r="26" spans="1:13" x14ac:dyDescent="0.25">
      <c r="A26" s="5" t="s">
        <v>152</v>
      </c>
      <c r="B26" s="5" t="s">
        <v>153</v>
      </c>
      <c r="C26" s="5" t="s">
        <v>154</v>
      </c>
      <c r="D26" s="5" t="s">
        <v>48</v>
      </c>
      <c r="E26" s="5" t="s">
        <v>103</v>
      </c>
      <c r="F26" s="5" t="s">
        <v>57</v>
      </c>
      <c r="G26" s="5" t="s">
        <v>58</v>
      </c>
      <c r="H26" s="12">
        <v>45360</v>
      </c>
      <c r="I26" s="12">
        <v>45519</v>
      </c>
      <c r="J26" s="12">
        <v>45533</v>
      </c>
      <c r="K26" s="6">
        <v>387000</v>
      </c>
      <c r="L26" s="6">
        <v>405900</v>
      </c>
      <c r="M26" s="5">
        <v>2024</v>
      </c>
    </row>
    <row r="27" spans="1:13" x14ac:dyDescent="0.25">
      <c r="A27" s="5" t="s">
        <v>155</v>
      </c>
      <c r="B27" s="5" t="s">
        <v>156</v>
      </c>
      <c r="C27" s="5" t="s">
        <v>157</v>
      </c>
      <c r="D27" s="5" t="s">
        <v>55</v>
      </c>
      <c r="E27" s="5" t="s">
        <v>73</v>
      </c>
      <c r="F27" s="5" t="s">
        <v>79</v>
      </c>
      <c r="G27" s="5" t="s">
        <v>80</v>
      </c>
      <c r="H27" s="12">
        <v>45464</v>
      </c>
      <c r="I27" s="12">
        <v>45518</v>
      </c>
      <c r="J27" s="12">
        <v>45518</v>
      </c>
      <c r="K27" s="6">
        <v>39500</v>
      </c>
      <c r="L27" s="6">
        <v>40000</v>
      </c>
      <c r="M27" s="5">
        <v>2024</v>
      </c>
    </row>
    <row r="28" spans="1:13" x14ac:dyDescent="0.25">
      <c r="A28" s="5" t="s">
        <v>158</v>
      </c>
      <c r="B28" s="5" t="s">
        <v>159</v>
      </c>
      <c r="C28" s="5" t="s">
        <v>160</v>
      </c>
      <c r="D28" s="5" t="s">
        <v>112</v>
      </c>
      <c r="E28" s="5" t="s">
        <v>119</v>
      </c>
      <c r="F28" s="5" t="s">
        <v>74</v>
      </c>
      <c r="G28" s="5" t="s">
        <v>75</v>
      </c>
      <c r="H28" s="12">
        <v>45564</v>
      </c>
      <c r="I28" s="12">
        <v>45651</v>
      </c>
      <c r="J28" s="12">
        <v>45668</v>
      </c>
      <c r="K28" s="6">
        <v>200600</v>
      </c>
      <c r="L28" s="6">
        <v>200800</v>
      </c>
      <c r="M28" s="5">
        <v>2024</v>
      </c>
    </row>
    <row r="29" spans="1:13" x14ac:dyDescent="0.25">
      <c r="A29" s="5" t="s">
        <v>161</v>
      </c>
      <c r="B29" s="5" t="s">
        <v>162</v>
      </c>
      <c r="C29" s="5" t="s">
        <v>163</v>
      </c>
      <c r="D29" s="5" t="s">
        <v>55</v>
      </c>
      <c r="E29" s="5" t="s">
        <v>56</v>
      </c>
      <c r="F29" s="5" t="s">
        <v>79</v>
      </c>
      <c r="G29" s="5" t="s">
        <v>80</v>
      </c>
      <c r="H29" s="12">
        <v>45356</v>
      </c>
      <c r="I29" s="12">
        <v>45450</v>
      </c>
      <c r="J29" s="12">
        <v>45459</v>
      </c>
      <c r="K29" s="6">
        <v>266000</v>
      </c>
      <c r="L29" s="6">
        <v>276300</v>
      </c>
      <c r="M29" s="5">
        <v>2024</v>
      </c>
    </row>
    <row r="30" spans="1:13" x14ac:dyDescent="0.25">
      <c r="A30" s="5" t="s">
        <v>164</v>
      </c>
      <c r="B30" s="5" t="s">
        <v>165</v>
      </c>
      <c r="C30" s="5" t="s">
        <v>166</v>
      </c>
      <c r="D30" s="5" t="s">
        <v>112</v>
      </c>
      <c r="E30" s="5" t="s">
        <v>84</v>
      </c>
      <c r="F30" s="5" t="s">
        <v>88</v>
      </c>
      <c r="G30" s="5" t="s">
        <v>89</v>
      </c>
      <c r="H30" s="12">
        <v>45567</v>
      </c>
      <c r="I30" s="12">
        <v>45624</v>
      </c>
      <c r="J30" s="12">
        <v>45639</v>
      </c>
      <c r="K30" s="6">
        <v>122700</v>
      </c>
      <c r="L30" s="6">
        <v>121000</v>
      </c>
      <c r="M30" s="5">
        <v>2024</v>
      </c>
    </row>
    <row r="31" spans="1:13" x14ac:dyDescent="0.25">
      <c r="A31" s="5" t="s">
        <v>167</v>
      </c>
      <c r="B31" s="5" t="s">
        <v>168</v>
      </c>
      <c r="C31" s="5" t="s">
        <v>169</v>
      </c>
      <c r="D31" s="5" t="s">
        <v>67</v>
      </c>
      <c r="E31" s="5" t="s">
        <v>56</v>
      </c>
      <c r="F31" s="5" t="s">
        <v>170</v>
      </c>
      <c r="G31" s="5" t="s">
        <v>171</v>
      </c>
      <c r="H31" s="12">
        <v>45495</v>
      </c>
      <c r="I31" s="12">
        <v>45595</v>
      </c>
      <c r="J31" s="12">
        <v>45607</v>
      </c>
      <c r="K31" s="6">
        <v>170000</v>
      </c>
      <c r="L31" s="6">
        <v>174500</v>
      </c>
      <c r="M31" s="5">
        <v>2024</v>
      </c>
    </row>
    <row r="32" spans="1:13" x14ac:dyDescent="0.25">
      <c r="A32" s="5" t="s">
        <v>172</v>
      </c>
      <c r="B32" s="5" t="s">
        <v>173</v>
      </c>
      <c r="C32" s="5" t="s">
        <v>174</v>
      </c>
      <c r="D32" s="5" t="s">
        <v>67</v>
      </c>
      <c r="E32" s="5" t="s">
        <v>113</v>
      </c>
      <c r="F32" s="5" t="s">
        <v>79</v>
      </c>
      <c r="G32" s="5" t="s">
        <v>80</v>
      </c>
      <c r="H32" s="12">
        <v>45365</v>
      </c>
      <c r="I32" s="12">
        <v>45418</v>
      </c>
      <c r="J32" s="12">
        <v>45428</v>
      </c>
      <c r="K32" s="6">
        <v>75800</v>
      </c>
      <c r="L32" s="6">
        <v>78600</v>
      </c>
      <c r="M32" s="5">
        <v>2024</v>
      </c>
    </row>
    <row r="33" spans="1:13" x14ac:dyDescent="0.25">
      <c r="A33" s="5" t="s">
        <v>175</v>
      </c>
      <c r="B33" s="5" t="s">
        <v>176</v>
      </c>
      <c r="C33" s="5" t="s">
        <v>177</v>
      </c>
      <c r="D33" s="5" t="s">
        <v>55</v>
      </c>
      <c r="E33" s="5" t="s">
        <v>103</v>
      </c>
      <c r="F33" s="5" t="s">
        <v>120</v>
      </c>
      <c r="G33" s="5" t="s">
        <v>121</v>
      </c>
      <c r="H33" s="12">
        <v>45570</v>
      </c>
      <c r="I33" s="12">
        <v>45755</v>
      </c>
      <c r="J33" s="12">
        <v>45782</v>
      </c>
      <c r="K33" s="6">
        <v>245200</v>
      </c>
      <c r="L33" s="6">
        <v>258500</v>
      </c>
      <c r="M33" s="5">
        <v>2024</v>
      </c>
    </row>
    <row r="34" spans="1:13" x14ac:dyDescent="0.25">
      <c r="A34" s="5" t="s">
        <v>178</v>
      </c>
      <c r="B34" s="5" t="s">
        <v>179</v>
      </c>
      <c r="C34" s="5" t="s">
        <v>180</v>
      </c>
      <c r="D34" s="5" t="s">
        <v>55</v>
      </c>
      <c r="E34" s="5" t="s">
        <v>103</v>
      </c>
      <c r="F34" s="5" t="s">
        <v>74</v>
      </c>
      <c r="G34" s="5" t="s">
        <v>75</v>
      </c>
      <c r="H34" s="12">
        <v>45402</v>
      </c>
      <c r="I34" s="12">
        <v>45574</v>
      </c>
      <c r="J34" s="12">
        <v>45585</v>
      </c>
      <c r="K34" s="6">
        <v>215500</v>
      </c>
      <c r="L34" s="6">
        <v>219900</v>
      </c>
      <c r="M34" s="5">
        <v>2024</v>
      </c>
    </row>
    <row r="35" spans="1:13" x14ac:dyDescent="0.25">
      <c r="A35" s="5" t="s">
        <v>181</v>
      </c>
      <c r="B35" s="5" t="s">
        <v>182</v>
      </c>
      <c r="C35" s="5" t="s">
        <v>183</v>
      </c>
      <c r="D35" s="5" t="s">
        <v>55</v>
      </c>
      <c r="E35" s="5" t="s">
        <v>119</v>
      </c>
      <c r="F35" s="5" t="s">
        <v>184</v>
      </c>
      <c r="G35" s="5" t="s">
        <v>185</v>
      </c>
      <c r="H35" s="12">
        <v>45441</v>
      </c>
      <c r="I35" s="12">
        <v>45552</v>
      </c>
      <c r="J35" s="12">
        <v>45572</v>
      </c>
      <c r="K35" s="6">
        <v>214400</v>
      </c>
      <c r="L35" s="6">
        <v>224400</v>
      </c>
      <c r="M35" s="5">
        <v>2024</v>
      </c>
    </row>
    <row r="36" spans="1:13" x14ac:dyDescent="0.25">
      <c r="A36" s="5" t="s">
        <v>186</v>
      </c>
      <c r="B36" s="5" t="s">
        <v>187</v>
      </c>
      <c r="C36" s="5" t="s">
        <v>188</v>
      </c>
      <c r="D36" s="5" t="s">
        <v>48</v>
      </c>
      <c r="E36" s="5" t="s">
        <v>63</v>
      </c>
      <c r="F36" s="5" t="s">
        <v>74</v>
      </c>
      <c r="G36" s="5" t="s">
        <v>140</v>
      </c>
      <c r="H36" s="12">
        <v>45657</v>
      </c>
      <c r="I36" s="12">
        <v>45690</v>
      </c>
      <c r="J36" s="12">
        <v>45698</v>
      </c>
      <c r="K36" s="6">
        <v>92000</v>
      </c>
      <c r="L36" s="6">
        <v>94200</v>
      </c>
      <c r="M36" s="5">
        <v>2024</v>
      </c>
    </row>
    <row r="37" spans="1:13" x14ac:dyDescent="0.25">
      <c r="A37" s="5" t="s">
        <v>189</v>
      </c>
      <c r="B37" s="5" t="s">
        <v>190</v>
      </c>
      <c r="C37" s="5" t="s">
        <v>191</v>
      </c>
      <c r="D37" s="5" t="s">
        <v>112</v>
      </c>
      <c r="E37" s="5" t="s">
        <v>119</v>
      </c>
      <c r="F37" s="5" t="s">
        <v>192</v>
      </c>
      <c r="G37" s="5" t="s">
        <v>193</v>
      </c>
      <c r="H37" s="12">
        <v>45435</v>
      </c>
      <c r="I37" s="12">
        <v>45558</v>
      </c>
      <c r="J37" s="12">
        <v>45572</v>
      </c>
      <c r="K37" s="6">
        <v>228900</v>
      </c>
      <c r="L37" s="6">
        <v>228900</v>
      </c>
      <c r="M37" s="5">
        <v>2024</v>
      </c>
    </row>
    <row r="38" spans="1:13" x14ac:dyDescent="0.25">
      <c r="A38" s="5" t="s">
        <v>194</v>
      </c>
      <c r="B38" s="5" t="s">
        <v>86</v>
      </c>
      <c r="C38" s="5" t="s">
        <v>195</v>
      </c>
      <c r="D38" s="5" t="s">
        <v>55</v>
      </c>
      <c r="E38" s="5" t="s">
        <v>56</v>
      </c>
      <c r="F38" s="5" t="s">
        <v>88</v>
      </c>
      <c r="G38" s="5" t="s">
        <v>89</v>
      </c>
      <c r="H38" s="12">
        <v>45445</v>
      </c>
      <c r="I38" s="12">
        <v>45515</v>
      </c>
      <c r="J38" s="12">
        <v>45525</v>
      </c>
      <c r="K38" s="6">
        <v>174500</v>
      </c>
      <c r="L38" s="6">
        <v>173300</v>
      </c>
      <c r="M38" s="5">
        <v>2024</v>
      </c>
    </row>
    <row r="39" spans="1:13" x14ac:dyDescent="0.25">
      <c r="A39" s="5" t="s">
        <v>196</v>
      </c>
      <c r="B39" s="5" t="s">
        <v>197</v>
      </c>
      <c r="C39" s="5" t="s">
        <v>198</v>
      </c>
      <c r="D39" s="5" t="s">
        <v>55</v>
      </c>
      <c r="E39" s="5" t="s">
        <v>119</v>
      </c>
      <c r="F39" s="5" t="s">
        <v>170</v>
      </c>
      <c r="G39" s="5" t="s">
        <v>171</v>
      </c>
      <c r="H39" s="12">
        <v>45383</v>
      </c>
      <c r="I39" s="12">
        <v>45477</v>
      </c>
      <c r="J39" s="12">
        <v>45483</v>
      </c>
      <c r="K39" s="6">
        <v>98400</v>
      </c>
      <c r="L39" s="6">
        <v>103000</v>
      </c>
      <c r="M39" s="5">
        <v>2024</v>
      </c>
    </row>
    <row r="40" spans="1:13" x14ac:dyDescent="0.25">
      <c r="A40" s="5" t="s">
        <v>199</v>
      </c>
      <c r="B40" s="5" t="s">
        <v>200</v>
      </c>
      <c r="C40" s="5" t="s">
        <v>201</v>
      </c>
      <c r="D40" s="5" t="s">
        <v>55</v>
      </c>
      <c r="E40" s="5" t="s">
        <v>103</v>
      </c>
      <c r="F40" s="5" t="s">
        <v>202</v>
      </c>
      <c r="G40" s="5" t="s">
        <v>203</v>
      </c>
      <c r="H40" s="12">
        <v>45384</v>
      </c>
      <c r="I40" s="12">
        <v>45523</v>
      </c>
      <c r="J40" s="12">
        <v>45539</v>
      </c>
      <c r="K40" s="6">
        <v>214600</v>
      </c>
      <c r="L40" s="6">
        <v>222000</v>
      </c>
      <c r="M40" s="5">
        <v>2024</v>
      </c>
    </row>
    <row r="41" spans="1:13" x14ac:dyDescent="0.25">
      <c r="A41" s="5" t="s">
        <v>204</v>
      </c>
      <c r="B41" s="5" t="s">
        <v>205</v>
      </c>
      <c r="C41" s="5" t="s">
        <v>206</v>
      </c>
      <c r="D41" s="5" t="s">
        <v>62</v>
      </c>
      <c r="E41" s="5" t="s">
        <v>84</v>
      </c>
      <c r="F41" s="5" t="s">
        <v>68</v>
      </c>
      <c r="G41" s="5" t="s">
        <v>69</v>
      </c>
      <c r="H41" s="12">
        <v>45564</v>
      </c>
      <c r="I41" s="12">
        <v>45610</v>
      </c>
      <c r="J41" s="12">
        <v>45629</v>
      </c>
      <c r="K41" s="6">
        <v>72900</v>
      </c>
      <c r="L41" s="6">
        <v>77100</v>
      </c>
      <c r="M41" s="5">
        <v>2024</v>
      </c>
    </row>
    <row r="42" spans="1:13" x14ac:dyDescent="0.25">
      <c r="A42" s="5" t="s">
        <v>207</v>
      </c>
      <c r="B42" s="5" t="s">
        <v>208</v>
      </c>
      <c r="C42" s="5" t="s">
        <v>209</v>
      </c>
      <c r="D42" s="5" t="s">
        <v>48</v>
      </c>
      <c r="E42" s="5" t="s">
        <v>73</v>
      </c>
      <c r="F42" s="5" t="s">
        <v>88</v>
      </c>
      <c r="G42" s="5" t="s">
        <v>89</v>
      </c>
      <c r="H42" s="12">
        <v>45479</v>
      </c>
      <c r="I42" s="12">
        <v>45520</v>
      </c>
      <c r="J42" s="12">
        <v>45533</v>
      </c>
      <c r="K42" s="6">
        <v>39000</v>
      </c>
      <c r="L42" s="6">
        <v>40700</v>
      </c>
      <c r="M42" s="5">
        <v>2024</v>
      </c>
    </row>
    <row r="43" spans="1:13" x14ac:dyDescent="0.25">
      <c r="A43" s="5" t="s">
        <v>210</v>
      </c>
      <c r="B43" s="5" t="s">
        <v>211</v>
      </c>
      <c r="C43" s="5" t="s">
        <v>212</v>
      </c>
      <c r="D43" s="5" t="s">
        <v>55</v>
      </c>
      <c r="E43" s="5" t="s">
        <v>136</v>
      </c>
      <c r="F43" s="5" t="s">
        <v>79</v>
      </c>
      <c r="G43" s="5" t="s">
        <v>80</v>
      </c>
      <c r="H43" s="12">
        <v>45410</v>
      </c>
      <c r="I43" s="12">
        <v>45440</v>
      </c>
      <c r="J43" s="12">
        <v>45447</v>
      </c>
      <c r="K43" s="6">
        <v>45000</v>
      </c>
      <c r="L43" s="6">
        <v>45200</v>
      </c>
      <c r="M43" s="5">
        <v>2024</v>
      </c>
    </row>
    <row r="44" spans="1:13" x14ac:dyDescent="0.25">
      <c r="A44" s="5" t="s">
        <v>213</v>
      </c>
      <c r="B44" s="5" t="s">
        <v>214</v>
      </c>
      <c r="C44" s="5" t="s">
        <v>215</v>
      </c>
      <c r="D44" s="5" t="s">
        <v>55</v>
      </c>
      <c r="E44" s="5" t="s">
        <v>73</v>
      </c>
      <c r="F44" s="5" t="s">
        <v>98</v>
      </c>
      <c r="G44" s="5" t="s">
        <v>99</v>
      </c>
      <c r="H44" s="12">
        <v>45313</v>
      </c>
      <c r="I44" s="12">
        <v>45345</v>
      </c>
      <c r="J44" s="12">
        <v>45357</v>
      </c>
      <c r="K44" s="6">
        <v>89800</v>
      </c>
      <c r="L44" s="6">
        <v>88500</v>
      </c>
      <c r="M44" s="5">
        <v>2024</v>
      </c>
    </row>
    <row r="45" spans="1:13" x14ac:dyDescent="0.25">
      <c r="A45" s="5" t="s">
        <v>216</v>
      </c>
      <c r="B45" s="5" t="s">
        <v>217</v>
      </c>
      <c r="C45" s="5" t="s">
        <v>218</v>
      </c>
      <c r="D45" s="5" t="s">
        <v>48</v>
      </c>
      <c r="E45" s="5" t="s">
        <v>119</v>
      </c>
      <c r="F45" s="5" t="s">
        <v>88</v>
      </c>
      <c r="G45" s="5" t="s">
        <v>89</v>
      </c>
      <c r="H45" s="12">
        <v>45404</v>
      </c>
      <c r="I45" s="12">
        <v>45552</v>
      </c>
      <c r="J45" s="12">
        <v>45562</v>
      </c>
      <c r="K45" s="6">
        <v>163300</v>
      </c>
      <c r="L45" s="6">
        <v>162400</v>
      </c>
      <c r="M45" s="5">
        <v>2024</v>
      </c>
    </row>
    <row r="46" spans="1:13" x14ac:dyDescent="0.25">
      <c r="A46" s="5" t="s">
        <v>219</v>
      </c>
      <c r="B46" s="5" t="s">
        <v>182</v>
      </c>
      <c r="C46" s="5" t="s">
        <v>220</v>
      </c>
      <c r="D46" s="5" t="s">
        <v>62</v>
      </c>
      <c r="E46" s="5" t="s">
        <v>119</v>
      </c>
      <c r="F46" s="5" t="s">
        <v>184</v>
      </c>
      <c r="G46" s="5" t="s">
        <v>185</v>
      </c>
      <c r="H46" s="12">
        <v>45728</v>
      </c>
      <c r="I46" s="12">
        <v>45901</v>
      </c>
      <c r="J46" s="12">
        <v>45939</v>
      </c>
      <c r="K46" s="6">
        <v>261200</v>
      </c>
      <c r="L46" s="6">
        <v>263900</v>
      </c>
      <c r="M46" s="5">
        <v>2025</v>
      </c>
    </row>
    <row r="47" spans="1:13" x14ac:dyDescent="0.25">
      <c r="A47" s="5" t="s">
        <v>221</v>
      </c>
      <c r="B47" s="5" t="s">
        <v>222</v>
      </c>
      <c r="C47" s="5" t="s">
        <v>223</v>
      </c>
      <c r="D47" s="5" t="s">
        <v>55</v>
      </c>
      <c r="E47" s="5" t="s">
        <v>56</v>
      </c>
      <c r="F47" s="5" t="s">
        <v>224</v>
      </c>
      <c r="G47" s="5" t="s">
        <v>225</v>
      </c>
      <c r="H47" s="12">
        <v>45953</v>
      </c>
      <c r="I47" s="12">
        <v>46078</v>
      </c>
      <c r="J47" s="12">
        <v>46078</v>
      </c>
      <c r="K47" s="6">
        <v>132200</v>
      </c>
      <c r="L47" s="6">
        <v>143500</v>
      </c>
      <c r="M47" s="5">
        <v>2025</v>
      </c>
    </row>
    <row r="48" spans="1:13" x14ac:dyDescent="0.25">
      <c r="A48" s="5" t="s">
        <v>226</v>
      </c>
      <c r="B48" s="5" t="s">
        <v>227</v>
      </c>
      <c r="C48" s="5" t="s">
        <v>228</v>
      </c>
      <c r="D48" s="5" t="s">
        <v>55</v>
      </c>
      <c r="E48" s="5" t="s">
        <v>73</v>
      </c>
      <c r="F48" s="5" t="s">
        <v>120</v>
      </c>
      <c r="G48" s="5" t="s">
        <v>121</v>
      </c>
      <c r="H48" s="12">
        <v>45862</v>
      </c>
      <c r="I48" s="12">
        <v>45901</v>
      </c>
      <c r="J48" s="12">
        <v>45938</v>
      </c>
      <c r="K48" s="6">
        <v>63200</v>
      </c>
      <c r="L48" s="6">
        <v>65100</v>
      </c>
      <c r="M48" s="5">
        <v>2025</v>
      </c>
    </row>
    <row r="49" spans="1:13" x14ac:dyDescent="0.25">
      <c r="A49" s="5" t="s">
        <v>229</v>
      </c>
      <c r="B49" s="5" t="s">
        <v>230</v>
      </c>
      <c r="C49" s="5" t="s">
        <v>231</v>
      </c>
      <c r="D49" s="5" t="s">
        <v>48</v>
      </c>
      <c r="E49" s="5" t="s">
        <v>119</v>
      </c>
      <c r="F49" s="5" t="s">
        <v>57</v>
      </c>
      <c r="G49" s="5" t="s">
        <v>58</v>
      </c>
      <c r="H49" s="12">
        <v>45975</v>
      </c>
      <c r="I49" s="12">
        <v>46140</v>
      </c>
      <c r="J49" s="12">
        <v>46140</v>
      </c>
      <c r="K49" s="6">
        <v>193800</v>
      </c>
      <c r="L49" s="6">
        <v>200900</v>
      </c>
      <c r="M49" s="5">
        <v>2025</v>
      </c>
    </row>
    <row r="50" spans="1:13" x14ac:dyDescent="0.25">
      <c r="A50" s="5" t="s">
        <v>232</v>
      </c>
      <c r="B50" s="5" t="s">
        <v>142</v>
      </c>
      <c r="C50" s="5" t="s">
        <v>233</v>
      </c>
      <c r="D50" s="5" t="s">
        <v>112</v>
      </c>
      <c r="E50" s="5" t="s">
        <v>73</v>
      </c>
      <c r="F50" s="5" t="s">
        <v>79</v>
      </c>
      <c r="G50" s="5" t="s">
        <v>80</v>
      </c>
      <c r="H50" s="12">
        <v>45791</v>
      </c>
      <c r="I50" s="12">
        <v>45848</v>
      </c>
      <c r="J50" s="12">
        <v>45873</v>
      </c>
      <c r="K50" s="6">
        <v>65900</v>
      </c>
      <c r="L50" s="6">
        <v>69900</v>
      </c>
      <c r="M50" s="5">
        <v>2025</v>
      </c>
    </row>
    <row r="51" spans="1:13" x14ac:dyDescent="0.25">
      <c r="A51" s="5" t="s">
        <v>234</v>
      </c>
      <c r="B51" s="5" t="s">
        <v>235</v>
      </c>
      <c r="C51" s="5" t="s">
        <v>236</v>
      </c>
      <c r="D51" s="5" t="s">
        <v>62</v>
      </c>
      <c r="E51" s="5" t="s">
        <v>113</v>
      </c>
      <c r="F51" s="5" t="s">
        <v>170</v>
      </c>
      <c r="G51" s="5" t="s">
        <v>171</v>
      </c>
      <c r="H51" s="12">
        <v>45922</v>
      </c>
      <c r="I51" s="12">
        <v>45947</v>
      </c>
      <c r="J51" s="12">
        <v>45970</v>
      </c>
      <c r="K51" s="6">
        <v>95900</v>
      </c>
      <c r="L51" s="6">
        <v>104100</v>
      </c>
      <c r="M51" s="5">
        <v>2025</v>
      </c>
    </row>
    <row r="52" spans="1:13" x14ac:dyDescent="0.25">
      <c r="A52" s="5" t="s">
        <v>237</v>
      </c>
      <c r="B52" s="5" t="s">
        <v>238</v>
      </c>
      <c r="C52" s="5" t="s">
        <v>239</v>
      </c>
      <c r="D52" s="5" t="s">
        <v>62</v>
      </c>
      <c r="E52" s="5" t="s">
        <v>56</v>
      </c>
      <c r="F52" s="5" t="s">
        <v>125</v>
      </c>
      <c r="G52" s="5" t="s">
        <v>126</v>
      </c>
      <c r="H52" s="12">
        <v>45987</v>
      </c>
      <c r="I52" s="12">
        <v>46082</v>
      </c>
      <c r="J52" s="12">
        <v>46082</v>
      </c>
      <c r="K52" s="6">
        <v>261800</v>
      </c>
      <c r="L52" s="6">
        <v>276200</v>
      </c>
      <c r="M52" s="5">
        <v>2025</v>
      </c>
    </row>
    <row r="53" spans="1:13" x14ac:dyDescent="0.25">
      <c r="A53" s="5" t="s">
        <v>240</v>
      </c>
      <c r="B53" s="5" t="s">
        <v>241</v>
      </c>
      <c r="C53" s="5" t="s">
        <v>242</v>
      </c>
      <c r="D53" s="5" t="s">
        <v>62</v>
      </c>
      <c r="E53" s="5" t="s">
        <v>56</v>
      </c>
      <c r="F53" s="5" t="s">
        <v>57</v>
      </c>
      <c r="G53" s="5" t="s">
        <v>58</v>
      </c>
      <c r="H53" s="12">
        <v>45898</v>
      </c>
      <c r="I53" s="12">
        <v>45992</v>
      </c>
      <c r="J53" s="12">
        <v>46021</v>
      </c>
      <c r="K53" s="6">
        <v>187800</v>
      </c>
      <c r="L53" s="6">
        <v>190300</v>
      </c>
      <c r="M53" s="5">
        <v>2025</v>
      </c>
    </row>
    <row r="54" spans="1:13" x14ac:dyDescent="0.25">
      <c r="A54" s="5" t="s">
        <v>243</v>
      </c>
      <c r="B54" s="5" t="s">
        <v>244</v>
      </c>
      <c r="C54" s="5" t="s">
        <v>245</v>
      </c>
      <c r="D54" s="5" t="s">
        <v>55</v>
      </c>
      <c r="E54" s="5" t="s">
        <v>56</v>
      </c>
      <c r="F54" s="5" t="s">
        <v>246</v>
      </c>
      <c r="G54" s="5" t="s">
        <v>247</v>
      </c>
      <c r="H54" s="12">
        <v>45908</v>
      </c>
      <c r="I54" s="12">
        <v>46000</v>
      </c>
      <c r="J54" s="12">
        <v>46009</v>
      </c>
      <c r="K54" s="6">
        <v>189500</v>
      </c>
      <c r="L54" s="6">
        <v>205100</v>
      </c>
      <c r="M54" s="5">
        <v>2025</v>
      </c>
    </row>
    <row r="55" spans="1:13" x14ac:dyDescent="0.25">
      <c r="A55" s="5" t="s">
        <v>248</v>
      </c>
      <c r="B55" s="5" t="s">
        <v>249</v>
      </c>
      <c r="C55" s="5" t="s">
        <v>250</v>
      </c>
      <c r="D55" s="5" t="s">
        <v>62</v>
      </c>
      <c r="E55" s="5" t="s">
        <v>119</v>
      </c>
      <c r="F55" s="5" t="s">
        <v>50</v>
      </c>
      <c r="G55" s="5" t="s">
        <v>51</v>
      </c>
      <c r="H55" s="12">
        <v>45773</v>
      </c>
      <c r="I55" s="12">
        <v>45912</v>
      </c>
      <c r="J55" s="12">
        <v>45960</v>
      </c>
      <c r="K55" s="6">
        <v>259000</v>
      </c>
      <c r="L55" s="6">
        <v>268900</v>
      </c>
      <c r="M55" s="5">
        <v>2025</v>
      </c>
    </row>
    <row r="56" spans="1:13" x14ac:dyDescent="0.25">
      <c r="A56" s="5" t="s">
        <v>251</v>
      </c>
      <c r="B56" s="5" t="s">
        <v>165</v>
      </c>
      <c r="C56" s="5" t="s">
        <v>252</v>
      </c>
      <c r="D56" s="5" t="s">
        <v>55</v>
      </c>
      <c r="E56" s="5" t="s">
        <v>84</v>
      </c>
      <c r="F56" s="5" t="s">
        <v>88</v>
      </c>
      <c r="G56" s="5" t="s">
        <v>89</v>
      </c>
      <c r="H56" s="12">
        <v>45945</v>
      </c>
      <c r="I56" s="12">
        <v>45981</v>
      </c>
      <c r="J56" s="12">
        <v>46001</v>
      </c>
      <c r="K56" s="6">
        <v>132400</v>
      </c>
      <c r="L56" s="6">
        <v>139900</v>
      </c>
      <c r="M56" s="5">
        <v>2025</v>
      </c>
    </row>
    <row r="57" spans="1:13" x14ac:dyDescent="0.25">
      <c r="A57" s="5" t="s">
        <v>253</v>
      </c>
      <c r="B57" s="5" t="s">
        <v>101</v>
      </c>
      <c r="C57" s="5" t="s">
        <v>61</v>
      </c>
      <c r="D57" s="5" t="s">
        <v>62</v>
      </c>
      <c r="E57" s="5" t="s">
        <v>103</v>
      </c>
      <c r="F57" s="5" t="s">
        <v>57</v>
      </c>
      <c r="G57" s="5" t="s">
        <v>58</v>
      </c>
      <c r="H57" s="12">
        <v>45800</v>
      </c>
      <c r="I57" s="12">
        <v>45936</v>
      </c>
      <c r="J57" s="12">
        <v>45961</v>
      </c>
      <c r="K57" s="6">
        <v>273000</v>
      </c>
      <c r="L57" s="6">
        <v>294900</v>
      </c>
      <c r="M57" s="5">
        <v>2025</v>
      </c>
    </row>
    <row r="58" spans="1:13" x14ac:dyDescent="0.25">
      <c r="A58" s="5" t="s">
        <v>254</v>
      </c>
      <c r="B58" s="5" t="s">
        <v>255</v>
      </c>
      <c r="C58" s="5" t="s">
        <v>256</v>
      </c>
      <c r="D58" s="5" t="s">
        <v>55</v>
      </c>
      <c r="E58" s="5" t="s">
        <v>119</v>
      </c>
      <c r="F58" s="5" t="s">
        <v>93</v>
      </c>
      <c r="G58" s="5" t="s">
        <v>94</v>
      </c>
      <c r="H58" s="12">
        <v>45785</v>
      </c>
      <c r="I58" s="12">
        <v>45914</v>
      </c>
      <c r="J58" s="12">
        <v>45934</v>
      </c>
      <c r="K58" s="6">
        <v>230300</v>
      </c>
      <c r="L58" s="6">
        <v>238700</v>
      </c>
      <c r="M58" s="5">
        <v>2025</v>
      </c>
    </row>
    <row r="59" spans="1:13" x14ac:dyDescent="0.25">
      <c r="A59" s="5" t="s">
        <v>257</v>
      </c>
      <c r="B59" s="5" t="s">
        <v>258</v>
      </c>
      <c r="C59" s="5" t="s">
        <v>259</v>
      </c>
      <c r="D59" s="5" t="s">
        <v>67</v>
      </c>
      <c r="E59" s="5" t="s">
        <v>73</v>
      </c>
      <c r="F59" s="5" t="s">
        <v>131</v>
      </c>
      <c r="G59" s="5" t="s">
        <v>132</v>
      </c>
      <c r="H59" s="12">
        <v>45815</v>
      </c>
      <c r="I59" s="12">
        <v>45861</v>
      </c>
      <c r="J59" s="12">
        <v>45890</v>
      </c>
      <c r="K59" s="6">
        <v>60900</v>
      </c>
      <c r="L59" s="6">
        <v>63500</v>
      </c>
      <c r="M59" s="5">
        <v>2025</v>
      </c>
    </row>
    <row r="60" spans="1:13" x14ac:dyDescent="0.25">
      <c r="A60" s="5" t="s">
        <v>260</v>
      </c>
      <c r="B60" s="5" t="s">
        <v>261</v>
      </c>
      <c r="C60" s="5" t="s">
        <v>87</v>
      </c>
      <c r="D60" s="5" t="s">
        <v>62</v>
      </c>
      <c r="E60" s="5" t="s">
        <v>103</v>
      </c>
      <c r="F60" s="5" t="s">
        <v>68</v>
      </c>
      <c r="G60" s="5" t="s">
        <v>69</v>
      </c>
      <c r="H60" s="12">
        <v>45928</v>
      </c>
      <c r="I60" s="12">
        <v>46081</v>
      </c>
      <c r="J60" s="12">
        <v>46081</v>
      </c>
      <c r="K60" s="6">
        <v>310200</v>
      </c>
      <c r="L60" s="6">
        <v>323800</v>
      </c>
      <c r="M60" s="5">
        <v>2025</v>
      </c>
    </row>
    <row r="61" spans="1:13" x14ac:dyDescent="0.25">
      <c r="A61" s="5" t="s">
        <v>262</v>
      </c>
      <c r="B61" s="5" t="s">
        <v>263</v>
      </c>
      <c r="C61" s="5" t="s">
        <v>264</v>
      </c>
      <c r="D61" s="5" t="s">
        <v>55</v>
      </c>
      <c r="E61" s="5" t="s">
        <v>56</v>
      </c>
      <c r="F61" s="5" t="s">
        <v>88</v>
      </c>
      <c r="G61" s="5" t="s">
        <v>89</v>
      </c>
      <c r="H61" s="12">
        <v>45771</v>
      </c>
      <c r="I61" s="12">
        <v>45862</v>
      </c>
      <c r="J61" s="12">
        <v>45896</v>
      </c>
      <c r="K61" s="6">
        <v>280600</v>
      </c>
      <c r="L61" s="6">
        <v>281300</v>
      </c>
      <c r="M61" s="5">
        <v>2025</v>
      </c>
    </row>
    <row r="62" spans="1:13" x14ac:dyDescent="0.25">
      <c r="A62" s="5" t="s">
        <v>265</v>
      </c>
      <c r="B62" s="5" t="s">
        <v>266</v>
      </c>
      <c r="C62" s="5" t="s">
        <v>267</v>
      </c>
      <c r="D62" s="5" t="s">
        <v>112</v>
      </c>
      <c r="E62" s="5" t="s">
        <v>130</v>
      </c>
      <c r="F62" s="5" t="s">
        <v>224</v>
      </c>
      <c r="G62" s="5" t="s">
        <v>225</v>
      </c>
      <c r="H62" s="12">
        <v>45798</v>
      </c>
      <c r="I62" s="12">
        <v>45855</v>
      </c>
      <c r="J62" s="12">
        <v>45868</v>
      </c>
      <c r="K62" s="6">
        <v>81200</v>
      </c>
      <c r="L62" s="6">
        <v>83100</v>
      </c>
      <c r="M62" s="5">
        <v>2025</v>
      </c>
    </row>
    <row r="63" spans="1:13" x14ac:dyDescent="0.25">
      <c r="A63" s="5" t="s">
        <v>268</v>
      </c>
      <c r="B63" s="5" t="s">
        <v>269</v>
      </c>
      <c r="C63" s="5" t="s">
        <v>270</v>
      </c>
      <c r="D63" s="5" t="s">
        <v>55</v>
      </c>
      <c r="E63" s="5" t="s">
        <v>49</v>
      </c>
      <c r="F63" s="5" t="s">
        <v>74</v>
      </c>
      <c r="G63" s="5" t="s">
        <v>75</v>
      </c>
      <c r="H63" s="12">
        <v>46002</v>
      </c>
      <c r="I63" s="12">
        <v>46032</v>
      </c>
      <c r="J63" s="12">
        <v>46032</v>
      </c>
      <c r="K63" s="6">
        <v>103400</v>
      </c>
      <c r="L63" s="6">
        <v>104200</v>
      </c>
      <c r="M63" s="5">
        <v>2025</v>
      </c>
    </row>
    <row r="64" spans="1:13" x14ac:dyDescent="0.25">
      <c r="A64" s="5" t="s">
        <v>271</v>
      </c>
      <c r="B64" s="5" t="s">
        <v>272</v>
      </c>
      <c r="C64" s="5" t="s">
        <v>273</v>
      </c>
      <c r="D64" s="5" t="s">
        <v>112</v>
      </c>
      <c r="E64" s="5" t="s">
        <v>136</v>
      </c>
      <c r="F64" s="5" t="s">
        <v>79</v>
      </c>
      <c r="G64" s="5" t="s">
        <v>80</v>
      </c>
      <c r="H64" s="12">
        <v>45785</v>
      </c>
      <c r="I64" s="12">
        <v>45820</v>
      </c>
      <c r="J64" s="12">
        <v>45829</v>
      </c>
      <c r="K64" s="6">
        <v>41700</v>
      </c>
      <c r="L64" s="6">
        <v>42400</v>
      </c>
      <c r="M64" s="5">
        <v>2025</v>
      </c>
    </row>
    <row r="65" spans="1:13" x14ac:dyDescent="0.25">
      <c r="A65" s="5" t="s">
        <v>274</v>
      </c>
      <c r="B65" s="5" t="s">
        <v>275</v>
      </c>
      <c r="C65" s="5" t="s">
        <v>259</v>
      </c>
      <c r="D65" s="5" t="s">
        <v>67</v>
      </c>
      <c r="E65" s="5" t="s">
        <v>119</v>
      </c>
      <c r="F65" s="5" t="s">
        <v>125</v>
      </c>
      <c r="G65" s="5" t="s">
        <v>126</v>
      </c>
      <c r="H65" s="12">
        <v>45846</v>
      </c>
      <c r="I65" s="12">
        <v>45942</v>
      </c>
      <c r="J65" s="12">
        <v>45980</v>
      </c>
      <c r="K65" s="6">
        <v>167300</v>
      </c>
      <c r="L65" s="6">
        <v>174300</v>
      </c>
      <c r="M65" s="5">
        <v>2025</v>
      </c>
    </row>
    <row r="66" spans="1:13" x14ac:dyDescent="0.25">
      <c r="A66" s="5" t="s">
        <v>276</v>
      </c>
      <c r="B66" s="5" t="s">
        <v>277</v>
      </c>
      <c r="C66" s="5" t="s">
        <v>233</v>
      </c>
      <c r="D66" s="5" t="s">
        <v>112</v>
      </c>
      <c r="E66" s="5" t="s">
        <v>63</v>
      </c>
      <c r="F66" s="5" t="s">
        <v>88</v>
      </c>
      <c r="G66" s="5" t="s">
        <v>89</v>
      </c>
      <c r="H66" s="12">
        <v>45713</v>
      </c>
      <c r="I66" s="12">
        <v>45748</v>
      </c>
      <c r="J66" s="12">
        <v>45772</v>
      </c>
      <c r="K66" s="6">
        <v>44800</v>
      </c>
      <c r="L66" s="6">
        <v>48500</v>
      </c>
      <c r="M66" s="5">
        <v>2025</v>
      </c>
    </row>
    <row r="67" spans="1:13" x14ac:dyDescent="0.25">
      <c r="A67" s="5" t="s">
        <v>278</v>
      </c>
      <c r="B67" s="5" t="s">
        <v>279</v>
      </c>
      <c r="C67" s="5" t="s">
        <v>280</v>
      </c>
      <c r="D67" s="5" t="s">
        <v>62</v>
      </c>
      <c r="E67" s="5" t="s">
        <v>130</v>
      </c>
      <c r="F67" s="5" t="s">
        <v>125</v>
      </c>
      <c r="G67" s="5" t="s">
        <v>126</v>
      </c>
      <c r="H67" s="12">
        <v>45831</v>
      </c>
      <c r="I67" s="12">
        <v>45873</v>
      </c>
      <c r="J67" s="12">
        <v>45882</v>
      </c>
      <c r="K67" s="6">
        <v>184700</v>
      </c>
      <c r="L67" s="6">
        <v>197500</v>
      </c>
      <c r="M67" s="5">
        <v>2025</v>
      </c>
    </row>
    <row r="68" spans="1:13" x14ac:dyDescent="0.25">
      <c r="A68" s="5" t="s">
        <v>281</v>
      </c>
      <c r="B68" s="5" t="s">
        <v>282</v>
      </c>
      <c r="C68" s="5" t="s">
        <v>283</v>
      </c>
      <c r="D68" s="5" t="s">
        <v>67</v>
      </c>
      <c r="E68" s="5" t="s">
        <v>84</v>
      </c>
      <c r="F68" s="5" t="s">
        <v>50</v>
      </c>
      <c r="G68" s="5" t="s">
        <v>51</v>
      </c>
      <c r="H68" s="12">
        <v>45912</v>
      </c>
      <c r="I68" s="12">
        <v>45966</v>
      </c>
      <c r="J68" s="12">
        <v>45998</v>
      </c>
      <c r="K68" s="6">
        <v>135800</v>
      </c>
      <c r="L68" s="6">
        <v>143700</v>
      </c>
      <c r="M68" s="5">
        <v>2025</v>
      </c>
    </row>
    <row r="69" spans="1:13" x14ac:dyDescent="0.25">
      <c r="A69" s="5" t="s">
        <v>284</v>
      </c>
      <c r="B69" s="5" t="s">
        <v>285</v>
      </c>
      <c r="C69" s="5" t="s">
        <v>286</v>
      </c>
      <c r="D69" s="5" t="s">
        <v>48</v>
      </c>
      <c r="E69" s="5" t="s">
        <v>119</v>
      </c>
      <c r="F69" s="5" t="s">
        <v>131</v>
      </c>
      <c r="G69" s="5" t="s">
        <v>132</v>
      </c>
      <c r="H69" s="12">
        <v>45934</v>
      </c>
      <c r="I69" s="12">
        <v>46069</v>
      </c>
      <c r="J69" s="12">
        <v>46069</v>
      </c>
      <c r="K69" s="6">
        <v>153900</v>
      </c>
      <c r="L69" s="6">
        <v>164100</v>
      </c>
      <c r="M69" s="5">
        <v>2025</v>
      </c>
    </row>
    <row r="70" spans="1:13" x14ac:dyDescent="0.25">
      <c r="A70" s="5" t="s">
        <v>287</v>
      </c>
      <c r="B70" s="5" t="s">
        <v>288</v>
      </c>
      <c r="C70" s="5" t="s">
        <v>151</v>
      </c>
      <c r="D70" s="5" t="s">
        <v>67</v>
      </c>
      <c r="E70" s="5" t="s">
        <v>113</v>
      </c>
      <c r="F70" s="5" t="s">
        <v>246</v>
      </c>
      <c r="G70" s="5" t="s">
        <v>247</v>
      </c>
      <c r="H70" s="12">
        <v>45822</v>
      </c>
      <c r="I70" s="12">
        <v>45859</v>
      </c>
      <c r="J70" s="12">
        <v>45884</v>
      </c>
      <c r="K70" s="6">
        <v>52800</v>
      </c>
      <c r="L70" s="6">
        <v>57000</v>
      </c>
      <c r="M70" s="5">
        <v>2025</v>
      </c>
    </row>
    <row r="71" spans="1:13" x14ac:dyDescent="0.25">
      <c r="A71" s="5" t="s">
        <v>289</v>
      </c>
      <c r="B71" s="5" t="s">
        <v>290</v>
      </c>
      <c r="C71" s="5" t="s">
        <v>259</v>
      </c>
      <c r="D71" s="5" t="s">
        <v>67</v>
      </c>
      <c r="E71" s="5" t="s">
        <v>73</v>
      </c>
      <c r="F71" s="5" t="s">
        <v>50</v>
      </c>
      <c r="G71" s="5" t="s">
        <v>51</v>
      </c>
      <c r="H71" s="12">
        <v>45941</v>
      </c>
      <c r="I71" s="12">
        <v>45962</v>
      </c>
      <c r="J71" s="12">
        <v>45998</v>
      </c>
      <c r="K71" s="6">
        <v>69500</v>
      </c>
      <c r="L71" s="6">
        <v>70800</v>
      </c>
      <c r="M71" s="5">
        <v>2025</v>
      </c>
    </row>
    <row r="72" spans="1:13" x14ac:dyDescent="0.25">
      <c r="A72" s="5" t="s">
        <v>291</v>
      </c>
      <c r="B72" s="5" t="s">
        <v>292</v>
      </c>
      <c r="C72" s="5" t="s">
        <v>293</v>
      </c>
      <c r="D72" s="5" t="s">
        <v>67</v>
      </c>
      <c r="E72" s="5" t="s">
        <v>119</v>
      </c>
      <c r="F72" s="5" t="s">
        <v>74</v>
      </c>
      <c r="G72" s="5" t="s">
        <v>140</v>
      </c>
      <c r="H72" s="12">
        <v>45708</v>
      </c>
      <c r="I72" s="12">
        <v>45877</v>
      </c>
      <c r="J72" s="12">
        <v>45899</v>
      </c>
      <c r="K72" s="6">
        <v>158700</v>
      </c>
      <c r="L72" s="6">
        <v>159900</v>
      </c>
      <c r="M72" s="5">
        <v>2025</v>
      </c>
    </row>
    <row r="73" spans="1:13" x14ac:dyDescent="0.25">
      <c r="A73" s="5" t="s">
        <v>294</v>
      </c>
      <c r="B73" s="5" t="s">
        <v>295</v>
      </c>
      <c r="C73" s="5" t="s">
        <v>236</v>
      </c>
      <c r="D73" s="5" t="s">
        <v>62</v>
      </c>
      <c r="E73" s="5" t="s">
        <v>56</v>
      </c>
      <c r="F73" s="5" t="s">
        <v>192</v>
      </c>
      <c r="G73" s="5" t="s">
        <v>193</v>
      </c>
      <c r="H73" s="12">
        <v>45859</v>
      </c>
      <c r="I73" s="12">
        <v>45991</v>
      </c>
      <c r="J73" s="12">
        <v>46001</v>
      </c>
      <c r="K73" s="6">
        <v>180700</v>
      </c>
      <c r="L73" s="6">
        <v>187300</v>
      </c>
      <c r="M73" s="5">
        <v>2025</v>
      </c>
    </row>
    <row r="74" spans="1:13" x14ac:dyDescent="0.25">
      <c r="A74" s="5" t="s">
        <v>296</v>
      </c>
      <c r="B74" s="5" t="s">
        <v>297</v>
      </c>
      <c r="C74" s="5" t="s">
        <v>298</v>
      </c>
      <c r="D74" s="5" t="s">
        <v>55</v>
      </c>
      <c r="E74" s="5" t="s">
        <v>73</v>
      </c>
      <c r="F74" s="5" t="s">
        <v>57</v>
      </c>
      <c r="G74" s="5" t="s">
        <v>58</v>
      </c>
      <c r="H74" s="12">
        <v>45669</v>
      </c>
      <c r="I74" s="12">
        <v>45719</v>
      </c>
      <c r="J74" s="12">
        <v>45757</v>
      </c>
      <c r="K74" s="6">
        <v>90100</v>
      </c>
      <c r="L74" s="6">
        <v>94600</v>
      </c>
      <c r="M74" s="5">
        <v>2025</v>
      </c>
    </row>
    <row r="75" spans="1:13" x14ac:dyDescent="0.25">
      <c r="A75" s="5" t="s">
        <v>299</v>
      </c>
      <c r="B75" s="5" t="s">
        <v>300</v>
      </c>
      <c r="C75" s="5" t="s">
        <v>301</v>
      </c>
      <c r="D75" s="5" t="s">
        <v>67</v>
      </c>
      <c r="E75" s="5" t="s">
        <v>119</v>
      </c>
      <c r="F75" s="5" t="s">
        <v>57</v>
      </c>
      <c r="G75" s="5" t="s">
        <v>58</v>
      </c>
      <c r="H75" s="12">
        <v>45848</v>
      </c>
      <c r="I75" s="12">
        <v>45960</v>
      </c>
      <c r="J75" s="12">
        <v>45982</v>
      </c>
      <c r="K75" s="6">
        <v>198500</v>
      </c>
      <c r="L75" s="6">
        <v>200600</v>
      </c>
      <c r="M75" s="5">
        <v>2025</v>
      </c>
    </row>
    <row r="76" spans="1:13" x14ac:dyDescent="0.25">
      <c r="A76" s="5" t="s">
        <v>302</v>
      </c>
      <c r="B76" s="5" t="s">
        <v>303</v>
      </c>
      <c r="C76" s="5" t="s">
        <v>304</v>
      </c>
      <c r="D76" s="5" t="s">
        <v>67</v>
      </c>
      <c r="E76" s="5" t="s">
        <v>119</v>
      </c>
      <c r="F76" s="5" t="s">
        <v>88</v>
      </c>
      <c r="G76" s="5" t="s">
        <v>89</v>
      </c>
      <c r="H76" s="12">
        <v>45712</v>
      </c>
      <c r="I76" s="12">
        <v>45853</v>
      </c>
      <c r="J76" s="12">
        <v>45884</v>
      </c>
      <c r="K76" s="6">
        <v>159700</v>
      </c>
      <c r="L76" s="6">
        <v>164000</v>
      </c>
      <c r="M76" s="5">
        <v>2025</v>
      </c>
    </row>
    <row r="77" spans="1:13" x14ac:dyDescent="0.25">
      <c r="A77" s="5" t="s">
        <v>305</v>
      </c>
      <c r="B77" s="5" t="s">
        <v>306</v>
      </c>
      <c r="C77" s="5" t="s">
        <v>307</v>
      </c>
      <c r="D77" s="5" t="s">
        <v>55</v>
      </c>
      <c r="E77" s="5" t="s">
        <v>103</v>
      </c>
      <c r="F77" s="5" t="s">
        <v>246</v>
      </c>
      <c r="G77" s="5" t="s">
        <v>247</v>
      </c>
      <c r="H77" s="12">
        <v>45892</v>
      </c>
      <c r="I77" s="12">
        <v>46060</v>
      </c>
      <c r="J77" s="12">
        <v>46060</v>
      </c>
      <c r="K77" s="6">
        <v>347800</v>
      </c>
      <c r="L77" s="6">
        <v>356900</v>
      </c>
      <c r="M77" s="5">
        <v>2025</v>
      </c>
    </row>
    <row r="78" spans="1:13" x14ac:dyDescent="0.25">
      <c r="A78" s="5" t="s">
        <v>308</v>
      </c>
      <c r="B78" s="5" t="s">
        <v>309</v>
      </c>
      <c r="C78" s="5" t="s">
        <v>310</v>
      </c>
      <c r="D78" s="5" t="s">
        <v>62</v>
      </c>
      <c r="E78" s="5" t="s">
        <v>130</v>
      </c>
      <c r="F78" s="5" t="s">
        <v>246</v>
      </c>
      <c r="G78" s="5" t="s">
        <v>247</v>
      </c>
      <c r="H78" s="12">
        <v>45805</v>
      </c>
      <c r="I78" s="12">
        <v>45835</v>
      </c>
      <c r="J78" s="12">
        <v>45858</v>
      </c>
      <c r="K78" s="6">
        <v>143600</v>
      </c>
      <c r="L78" s="6">
        <v>148000</v>
      </c>
      <c r="M78" s="5">
        <v>2025</v>
      </c>
    </row>
    <row r="79" spans="1:13" x14ac:dyDescent="0.25">
      <c r="A79" s="5" t="s">
        <v>311</v>
      </c>
      <c r="B79" s="5" t="s">
        <v>312</v>
      </c>
      <c r="C79" s="5" t="s">
        <v>139</v>
      </c>
      <c r="D79" s="5" t="s">
        <v>67</v>
      </c>
      <c r="E79" s="5" t="s">
        <v>119</v>
      </c>
      <c r="F79" s="5" t="s">
        <v>74</v>
      </c>
      <c r="G79" s="5" t="s">
        <v>75</v>
      </c>
      <c r="H79" s="12">
        <v>45692</v>
      </c>
      <c r="I79" s="12">
        <v>45780</v>
      </c>
      <c r="J79" s="12">
        <v>45825</v>
      </c>
      <c r="K79" s="6">
        <v>282100</v>
      </c>
      <c r="L79" s="6">
        <v>298100</v>
      </c>
      <c r="M79" s="5">
        <v>2025</v>
      </c>
    </row>
    <row r="80" spans="1:13" x14ac:dyDescent="0.25">
      <c r="A80" s="5" t="s">
        <v>313</v>
      </c>
      <c r="B80" s="5" t="s">
        <v>314</v>
      </c>
      <c r="C80" s="5" t="s">
        <v>315</v>
      </c>
      <c r="D80" s="5" t="s">
        <v>55</v>
      </c>
      <c r="E80" s="5" t="s">
        <v>130</v>
      </c>
      <c r="F80" s="5" t="s">
        <v>120</v>
      </c>
      <c r="G80" s="5" t="s">
        <v>121</v>
      </c>
      <c r="H80" s="12">
        <v>45903</v>
      </c>
      <c r="I80" s="12">
        <v>45948</v>
      </c>
      <c r="J80" s="12">
        <v>45960</v>
      </c>
      <c r="K80" s="6">
        <v>168500</v>
      </c>
      <c r="L80" s="6">
        <v>180500</v>
      </c>
      <c r="M80" s="5">
        <v>2025</v>
      </c>
    </row>
    <row r="81" spans="1:13" x14ac:dyDescent="0.25">
      <c r="A81" s="5" t="s">
        <v>316</v>
      </c>
      <c r="B81" s="5" t="s">
        <v>317</v>
      </c>
      <c r="C81" s="5" t="s">
        <v>154</v>
      </c>
      <c r="D81" s="5" t="s">
        <v>48</v>
      </c>
      <c r="E81" s="5" t="s">
        <v>56</v>
      </c>
      <c r="F81" s="5" t="s">
        <v>125</v>
      </c>
      <c r="G81" s="5" t="s">
        <v>126</v>
      </c>
      <c r="H81" s="12">
        <v>45777</v>
      </c>
      <c r="I81" s="12">
        <v>45903</v>
      </c>
      <c r="J81" s="12">
        <v>45927</v>
      </c>
      <c r="K81" s="6">
        <v>291700</v>
      </c>
      <c r="L81" s="6">
        <v>308000</v>
      </c>
      <c r="M81" s="5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95"/>
  <sheetViews>
    <sheetView workbookViewId="0"/>
  </sheetViews>
  <sheetFormatPr baseColWidth="10" defaultColWidth="9.140625" defaultRowHeight="15" x14ac:dyDescent="0.25"/>
  <cols>
    <col min="1" max="1" width="11" customWidth="1"/>
    <col min="2" max="2" width="13" customWidth="1"/>
    <col min="3" max="3" width="12" customWidth="1"/>
    <col min="4" max="4" width="18" customWidth="1"/>
    <col min="5" max="5" width="12" customWidth="1"/>
    <col min="6" max="6" width="16" hidden="1" customWidth="1"/>
  </cols>
  <sheetData>
    <row r="1" spans="1:6" x14ac:dyDescent="0.25">
      <c r="A1" s="11" t="s">
        <v>318</v>
      </c>
      <c r="B1" s="11" t="s">
        <v>32</v>
      </c>
      <c r="C1" s="11" t="s">
        <v>319</v>
      </c>
      <c r="D1" s="11" t="s">
        <v>320</v>
      </c>
      <c r="E1" s="11" t="s">
        <v>321</v>
      </c>
      <c r="F1" s="11" t="s">
        <v>322</v>
      </c>
    </row>
    <row r="2" spans="1:6" x14ac:dyDescent="0.25">
      <c r="A2" s="5" t="s">
        <v>323</v>
      </c>
      <c r="B2" s="5" t="s">
        <v>45</v>
      </c>
      <c r="C2" s="12">
        <v>45138</v>
      </c>
      <c r="D2" s="5" t="s">
        <v>324</v>
      </c>
      <c r="E2" s="6">
        <v>14165</v>
      </c>
      <c r="F2" s="5">
        <v>2023</v>
      </c>
    </row>
    <row r="3" spans="1:6" x14ac:dyDescent="0.25">
      <c r="A3" s="5" t="s">
        <v>325</v>
      </c>
      <c r="B3" s="5" t="s">
        <v>45</v>
      </c>
      <c r="C3" s="12">
        <v>45132</v>
      </c>
      <c r="D3" s="5" t="s">
        <v>324</v>
      </c>
      <c r="E3" s="6">
        <v>5237</v>
      </c>
      <c r="F3" s="5">
        <v>2023</v>
      </c>
    </row>
    <row r="4" spans="1:6" x14ac:dyDescent="0.25">
      <c r="A4" s="5" t="s">
        <v>326</v>
      </c>
      <c r="B4" s="5" t="s">
        <v>45</v>
      </c>
      <c r="C4" s="12">
        <v>45164</v>
      </c>
      <c r="D4" s="5" t="s">
        <v>12</v>
      </c>
      <c r="E4" s="6">
        <v>2028</v>
      </c>
      <c r="F4" s="5">
        <v>2023</v>
      </c>
    </row>
    <row r="5" spans="1:6" x14ac:dyDescent="0.25">
      <c r="A5" s="5" t="s">
        <v>327</v>
      </c>
      <c r="B5" s="5" t="s">
        <v>45</v>
      </c>
      <c r="C5" s="12">
        <v>45151</v>
      </c>
      <c r="D5" s="5" t="s">
        <v>12</v>
      </c>
      <c r="E5" s="6">
        <v>793</v>
      </c>
      <c r="F5" s="5">
        <v>2023</v>
      </c>
    </row>
    <row r="6" spans="1:6" x14ac:dyDescent="0.25">
      <c r="A6" s="5" t="s">
        <v>328</v>
      </c>
      <c r="B6" s="5" t="s">
        <v>45</v>
      </c>
      <c r="C6" s="12">
        <v>45153</v>
      </c>
      <c r="D6" s="5" t="s">
        <v>12</v>
      </c>
      <c r="E6" s="6">
        <v>2593</v>
      </c>
      <c r="F6" s="5">
        <v>2023</v>
      </c>
    </row>
    <row r="7" spans="1:6" x14ac:dyDescent="0.25">
      <c r="A7" s="5" t="s">
        <v>329</v>
      </c>
      <c r="B7" s="5" t="s">
        <v>45</v>
      </c>
      <c r="C7" s="12">
        <v>45138</v>
      </c>
      <c r="D7" s="5" t="s">
        <v>330</v>
      </c>
      <c r="E7" s="6">
        <v>2651</v>
      </c>
      <c r="F7" s="5">
        <v>2023</v>
      </c>
    </row>
    <row r="8" spans="1:6" x14ac:dyDescent="0.25">
      <c r="A8" s="5" t="s">
        <v>331</v>
      </c>
      <c r="B8" s="5" t="s">
        <v>45</v>
      </c>
      <c r="C8" s="12">
        <v>45139</v>
      </c>
      <c r="D8" s="5" t="s">
        <v>330</v>
      </c>
      <c r="E8" s="6">
        <v>2871</v>
      </c>
      <c r="F8" s="5">
        <v>2023</v>
      </c>
    </row>
    <row r="9" spans="1:6" x14ac:dyDescent="0.25">
      <c r="A9" s="5" t="s">
        <v>332</v>
      </c>
      <c r="B9" s="5" t="s">
        <v>45</v>
      </c>
      <c r="C9" s="12">
        <v>45140</v>
      </c>
      <c r="D9" s="5" t="s">
        <v>330</v>
      </c>
      <c r="E9" s="6">
        <v>5308</v>
      </c>
      <c r="F9" s="5">
        <v>2023</v>
      </c>
    </row>
    <row r="10" spans="1:6" x14ac:dyDescent="0.25">
      <c r="A10" s="5" t="s">
        <v>333</v>
      </c>
      <c r="B10" s="5" t="s">
        <v>52</v>
      </c>
      <c r="C10" s="12">
        <v>45244</v>
      </c>
      <c r="D10" s="5" t="s">
        <v>324</v>
      </c>
      <c r="E10" s="6">
        <v>33519</v>
      </c>
      <c r="F10" s="5">
        <v>2023</v>
      </c>
    </row>
    <row r="11" spans="1:6" x14ac:dyDescent="0.25">
      <c r="A11" s="5" t="s">
        <v>334</v>
      </c>
      <c r="B11" s="5" t="s">
        <v>52</v>
      </c>
      <c r="C11" s="12">
        <v>45221</v>
      </c>
      <c r="D11" s="5" t="s">
        <v>324</v>
      </c>
      <c r="E11" s="6">
        <v>21217</v>
      </c>
      <c r="F11" s="5">
        <v>2023</v>
      </c>
    </row>
    <row r="12" spans="1:6" x14ac:dyDescent="0.25">
      <c r="A12" s="5" t="s">
        <v>335</v>
      </c>
      <c r="B12" s="5" t="s">
        <v>52</v>
      </c>
      <c r="C12" s="12">
        <v>45225</v>
      </c>
      <c r="D12" s="5" t="s">
        <v>324</v>
      </c>
      <c r="E12" s="6">
        <v>9091</v>
      </c>
      <c r="F12" s="5">
        <v>2023</v>
      </c>
    </row>
    <row r="13" spans="1:6" x14ac:dyDescent="0.25">
      <c r="A13" s="5" t="s">
        <v>336</v>
      </c>
      <c r="B13" s="5" t="s">
        <v>52</v>
      </c>
      <c r="C13" s="12">
        <v>45296</v>
      </c>
      <c r="D13" s="5" t="s">
        <v>12</v>
      </c>
      <c r="E13" s="6">
        <v>17812</v>
      </c>
      <c r="F13" s="5">
        <v>2023</v>
      </c>
    </row>
    <row r="14" spans="1:6" x14ac:dyDescent="0.25">
      <c r="A14" s="5" t="s">
        <v>337</v>
      </c>
      <c r="B14" s="5" t="s">
        <v>52</v>
      </c>
      <c r="C14" s="12">
        <v>45237</v>
      </c>
      <c r="D14" s="5" t="s">
        <v>330</v>
      </c>
      <c r="E14" s="6">
        <v>7107</v>
      </c>
      <c r="F14" s="5">
        <v>2023</v>
      </c>
    </row>
    <row r="15" spans="1:6" x14ac:dyDescent="0.25">
      <c r="A15" s="5" t="s">
        <v>338</v>
      </c>
      <c r="B15" s="5" t="s">
        <v>52</v>
      </c>
      <c r="C15" s="12">
        <v>45319</v>
      </c>
      <c r="D15" s="5" t="s">
        <v>330</v>
      </c>
      <c r="E15" s="6">
        <v>10269</v>
      </c>
      <c r="F15" s="5">
        <v>2023</v>
      </c>
    </row>
    <row r="16" spans="1:6" x14ac:dyDescent="0.25">
      <c r="A16" s="5" t="s">
        <v>339</v>
      </c>
      <c r="B16" s="5" t="s">
        <v>52</v>
      </c>
      <c r="C16" s="12">
        <v>45233</v>
      </c>
      <c r="D16" s="5" t="s">
        <v>330</v>
      </c>
      <c r="E16" s="6">
        <v>18249</v>
      </c>
      <c r="F16" s="5">
        <v>2023</v>
      </c>
    </row>
    <row r="17" spans="1:6" x14ac:dyDescent="0.25">
      <c r="A17" s="5" t="s">
        <v>340</v>
      </c>
      <c r="B17" s="5" t="s">
        <v>59</v>
      </c>
      <c r="C17" s="12">
        <v>45293</v>
      </c>
      <c r="D17" s="5" t="s">
        <v>324</v>
      </c>
      <c r="E17" s="6">
        <v>9852</v>
      </c>
      <c r="F17" s="5">
        <v>2023</v>
      </c>
    </row>
    <row r="18" spans="1:6" x14ac:dyDescent="0.25">
      <c r="A18" s="5" t="s">
        <v>341</v>
      </c>
      <c r="B18" s="5" t="s">
        <v>59</v>
      </c>
      <c r="C18" s="12">
        <v>45284</v>
      </c>
      <c r="D18" s="5" t="s">
        <v>324</v>
      </c>
      <c r="E18" s="6">
        <v>16033</v>
      </c>
      <c r="F18" s="5">
        <v>2023</v>
      </c>
    </row>
    <row r="19" spans="1:6" x14ac:dyDescent="0.25">
      <c r="A19" s="5" t="s">
        <v>342</v>
      </c>
      <c r="B19" s="5" t="s">
        <v>59</v>
      </c>
      <c r="C19" s="12">
        <v>45269</v>
      </c>
      <c r="D19" s="5" t="s">
        <v>324</v>
      </c>
      <c r="E19" s="6">
        <v>2865</v>
      </c>
      <c r="F19" s="5">
        <v>2023</v>
      </c>
    </row>
    <row r="20" spans="1:6" x14ac:dyDescent="0.25">
      <c r="A20" s="5" t="s">
        <v>343</v>
      </c>
      <c r="B20" s="5" t="s">
        <v>59</v>
      </c>
      <c r="C20" s="12">
        <v>45307</v>
      </c>
      <c r="D20" s="5" t="s">
        <v>12</v>
      </c>
      <c r="E20" s="6">
        <v>8023</v>
      </c>
      <c r="F20" s="5">
        <v>2023</v>
      </c>
    </row>
    <row r="21" spans="1:6" x14ac:dyDescent="0.25">
      <c r="A21" s="5" t="s">
        <v>344</v>
      </c>
      <c r="B21" s="5" t="s">
        <v>59</v>
      </c>
      <c r="C21" s="12">
        <v>45337</v>
      </c>
      <c r="D21" s="5" t="s">
        <v>330</v>
      </c>
      <c r="E21" s="6">
        <v>2784</v>
      </c>
      <c r="F21" s="5">
        <v>2023</v>
      </c>
    </row>
    <row r="22" spans="1:6" x14ac:dyDescent="0.25">
      <c r="A22" s="5" t="s">
        <v>345</v>
      </c>
      <c r="B22" s="5" t="s">
        <v>59</v>
      </c>
      <c r="C22" s="12">
        <v>45291</v>
      </c>
      <c r="D22" s="5" t="s">
        <v>330</v>
      </c>
      <c r="E22" s="6">
        <v>11123</v>
      </c>
      <c r="F22" s="5">
        <v>2023</v>
      </c>
    </row>
    <row r="23" spans="1:6" x14ac:dyDescent="0.25">
      <c r="A23" s="5" t="s">
        <v>346</v>
      </c>
      <c r="B23" s="5" t="s">
        <v>59</v>
      </c>
      <c r="C23" s="12">
        <v>45341</v>
      </c>
      <c r="D23" s="5" t="s">
        <v>330</v>
      </c>
      <c r="E23" s="6">
        <v>2140</v>
      </c>
      <c r="F23" s="5">
        <v>2023</v>
      </c>
    </row>
    <row r="24" spans="1:6" x14ac:dyDescent="0.25">
      <c r="A24" s="5" t="s">
        <v>347</v>
      </c>
      <c r="B24" s="5" t="s">
        <v>64</v>
      </c>
      <c r="C24" s="12">
        <v>45065</v>
      </c>
      <c r="D24" s="5" t="s">
        <v>324</v>
      </c>
      <c r="E24" s="6">
        <v>14822</v>
      </c>
      <c r="F24" s="5">
        <v>2023</v>
      </c>
    </row>
    <row r="25" spans="1:6" x14ac:dyDescent="0.25">
      <c r="A25" s="5" t="s">
        <v>348</v>
      </c>
      <c r="B25" s="5" t="s">
        <v>64</v>
      </c>
      <c r="C25" s="12">
        <v>45064</v>
      </c>
      <c r="D25" s="5" t="s">
        <v>324</v>
      </c>
      <c r="E25" s="6">
        <v>9769</v>
      </c>
      <c r="F25" s="5">
        <v>2023</v>
      </c>
    </row>
    <row r="26" spans="1:6" x14ac:dyDescent="0.25">
      <c r="A26" s="5" t="s">
        <v>349</v>
      </c>
      <c r="B26" s="5" t="s">
        <v>64</v>
      </c>
      <c r="C26" s="12">
        <v>45030</v>
      </c>
      <c r="D26" s="5" t="s">
        <v>324</v>
      </c>
      <c r="E26" s="6">
        <v>21755</v>
      </c>
      <c r="F26" s="5">
        <v>2023</v>
      </c>
    </row>
    <row r="27" spans="1:6" x14ac:dyDescent="0.25">
      <c r="A27" s="5" t="s">
        <v>350</v>
      </c>
      <c r="B27" s="5" t="s">
        <v>64</v>
      </c>
      <c r="C27" s="12">
        <v>45076</v>
      </c>
      <c r="D27" s="5" t="s">
        <v>324</v>
      </c>
      <c r="E27" s="6">
        <v>3710</v>
      </c>
      <c r="F27" s="5">
        <v>2023</v>
      </c>
    </row>
    <row r="28" spans="1:6" x14ac:dyDescent="0.25">
      <c r="A28" s="5" t="s">
        <v>351</v>
      </c>
      <c r="B28" s="5" t="s">
        <v>64</v>
      </c>
      <c r="C28" s="12">
        <v>45136</v>
      </c>
      <c r="D28" s="5" t="s">
        <v>12</v>
      </c>
      <c r="E28" s="6">
        <v>9859</v>
      </c>
      <c r="F28" s="5">
        <v>2023</v>
      </c>
    </row>
    <row r="29" spans="1:6" x14ac:dyDescent="0.25">
      <c r="A29" s="5" t="s">
        <v>352</v>
      </c>
      <c r="B29" s="5" t="s">
        <v>64</v>
      </c>
      <c r="C29" s="12">
        <v>45147</v>
      </c>
      <c r="D29" s="5" t="s">
        <v>12</v>
      </c>
      <c r="E29" s="6">
        <v>4110</v>
      </c>
      <c r="F29" s="5">
        <v>2023</v>
      </c>
    </row>
    <row r="30" spans="1:6" x14ac:dyDescent="0.25">
      <c r="A30" s="5" t="s">
        <v>353</v>
      </c>
      <c r="B30" s="5" t="s">
        <v>64</v>
      </c>
      <c r="C30" s="12">
        <v>45061</v>
      </c>
      <c r="D30" s="5" t="s">
        <v>330</v>
      </c>
      <c r="E30" s="6">
        <v>3997</v>
      </c>
      <c r="F30" s="5">
        <v>2023</v>
      </c>
    </row>
    <row r="31" spans="1:6" x14ac:dyDescent="0.25">
      <c r="A31" s="5" t="s">
        <v>354</v>
      </c>
      <c r="B31" s="5" t="s">
        <v>64</v>
      </c>
      <c r="C31" s="12">
        <v>45097</v>
      </c>
      <c r="D31" s="5" t="s">
        <v>330</v>
      </c>
      <c r="E31" s="6">
        <v>2463</v>
      </c>
      <c r="F31" s="5">
        <v>2023</v>
      </c>
    </row>
    <row r="32" spans="1:6" x14ac:dyDescent="0.25">
      <c r="A32" s="5" t="s">
        <v>355</v>
      </c>
      <c r="B32" s="5" t="s">
        <v>64</v>
      </c>
      <c r="C32" s="12">
        <v>45073</v>
      </c>
      <c r="D32" s="5" t="s">
        <v>330</v>
      </c>
      <c r="E32" s="6">
        <v>15286</v>
      </c>
      <c r="F32" s="5">
        <v>2023</v>
      </c>
    </row>
    <row r="33" spans="1:6" x14ac:dyDescent="0.25">
      <c r="A33" s="5" t="s">
        <v>356</v>
      </c>
      <c r="B33" s="5" t="s">
        <v>64</v>
      </c>
      <c r="C33" s="12">
        <v>45040</v>
      </c>
      <c r="D33" s="5" t="s">
        <v>330</v>
      </c>
      <c r="E33" s="6">
        <v>6194</v>
      </c>
      <c r="F33" s="5">
        <v>2023</v>
      </c>
    </row>
    <row r="34" spans="1:6" x14ac:dyDescent="0.25">
      <c r="A34" s="5" t="s">
        <v>357</v>
      </c>
      <c r="B34" s="5" t="s">
        <v>70</v>
      </c>
      <c r="C34" s="12">
        <v>45071</v>
      </c>
      <c r="D34" s="5" t="s">
        <v>324</v>
      </c>
      <c r="E34" s="6">
        <v>4728</v>
      </c>
      <c r="F34" s="5">
        <v>2023</v>
      </c>
    </row>
    <row r="35" spans="1:6" x14ac:dyDescent="0.25">
      <c r="A35" s="5" t="s">
        <v>358</v>
      </c>
      <c r="B35" s="5" t="s">
        <v>70</v>
      </c>
      <c r="C35" s="12">
        <v>45079</v>
      </c>
      <c r="D35" s="5" t="s">
        <v>324</v>
      </c>
      <c r="E35" s="6">
        <v>5208</v>
      </c>
      <c r="F35" s="5">
        <v>2023</v>
      </c>
    </row>
    <row r="36" spans="1:6" x14ac:dyDescent="0.25">
      <c r="A36" s="5" t="s">
        <v>359</v>
      </c>
      <c r="B36" s="5" t="s">
        <v>70</v>
      </c>
      <c r="C36" s="12">
        <v>45078</v>
      </c>
      <c r="D36" s="5" t="s">
        <v>324</v>
      </c>
      <c r="E36" s="6">
        <v>4028</v>
      </c>
      <c r="F36" s="5">
        <v>2023</v>
      </c>
    </row>
    <row r="37" spans="1:6" x14ac:dyDescent="0.25">
      <c r="A37" s="5" t="s">
        <v>360</v>
      </c>
      <c r="B37" s="5" t="s">
        <v>70</v>
      </c>
      <c r="C37" s="12">
        <v>45067</v>
      </c>
      <c r="D37" s="5" t="s">
        <v>324</v>
      </c>
      <c r="E37" s="6">
        <v>1086</v>
      </c>
      <c r="F37" s="5">
        <v>2023</v>
      </c>
    </row>
    <row r="38" spans="1:6" x14ac:dyDescent="0.25">
      <c r="A38" s="5" t="s">
        <v>361</v>
      </c>
      <c r="B38" s="5" t="s">
        <v>70</v>
      </c>
      <c r="C38" s="12">
        <v>45108</v>
      </c>
      <c r="D38" s="5" t="s">
        <v>12</v>
      </c>
      <c r="E38" s="6">
        <v>1863</v>
      </c>
      <c r="F38" s="5">
        <v>2023</v>
      </c>
    </row>
    <row r="39" spans="1:6" x14ac:dyDescent="0.25">
      <c r="A39" s="5" t="s">
        <v>362</v>
      </c>
      <c r="B39" s="5" t="s">
        <v>70</v>
      </c>
      <c r="C39" s="12">
        <v>45090</v>
      </c>
      <c r="D39" s="5" t="s">
        <v>12</v>
      </c>
      <c r="E39" s="6">
        <v>1713</v>
      </c>
      <c r="F39" s="5">
        <v>2023</v>
      </c>
    </row>
    <row r="40" spans="1:6" x14ac:dyDescent="0.25">
      <c r="A40" s="5" t="s">
        <v>363</v>
      </c>
      <c r="B40" s="5" t="s">
        <v>70</v>
      </c>
      <c r="C40" s="12">
        <v>45120</v>
      </c>
      <c r="D40" s="5" t="s">
        <v>12</v>
      </c>
      <c r="E40" s="6">
        <v>623</v>
      </c>
      <c r="F40" s="5">
        <v>2023</v>
      </c>
    </row>
    <row r="41" spans="1:6" x14ac:dyDescent="0.25">
      <c r="A41" s="5" t="s">
        <v>364</v>
      </c>
      <c r="B41" s="5" t="s">
        <v>70</v>
      </c>
      <c r="C41" s="12">
        <v>45098</v>
      </c>
      <c r="D41" s="5" t="s">
        <v>330</v>
      </c>
      <c r="E41" s="6">
        <v>4402</v>
      </c>
      <c r="F41" s="5">
        <v>2023</v>
      </c>
    </row>
    <row r="42" spans="1:6" x14ac:dyDescent="0.25">
      <c r="A42" s="5" t="s">
        <v>365</v>
      </c>
      <c r="B42" s="5" t="s">
        <v>70</v>
      </c>
      <c r="C42" s="12">
        <v>45090</v>
      </c>
      <c r="D42" s="5" t="s">
        <v>330</v>
      </c>
      <c r="E42" s="6">
        <v>503</v>
      </c>
      <c r="F42" s="5">
        <v>2023</v>
      </c>
    </row>
    <row r="43" spans="1:6" x14ac:dyDescent="0.25">
      <c r="A43" s="5" t="s">
        <v>366</v>
      </c>
      <c r="B43" s="5" t="s">
        <v>70</v>
      </c>
      <c r="C43" s="12">
        <v>45067</v>
      </c>
      <c r="D43" s="5" t="s">
        <v>330</v>
      </c>
      <c r="E43" s="6">
        <v>1122</v>
      </c>
      <c r="F43" s="5">
        <v>2023</v>
      </c>
    </row>
    <row r="44" spans="1:6" x14ac:dyDescent="0.25">
      <c r="A44" s="5" t="s">
        <v>367</v>
      </c>
      <c r="B44" s="5" t="s">
        <v>70</v>
      </c>
      <c r="C44" s="12">
        <v>45098</v>
      </c>
      <c r="D44" s="5" t="s">
        <v>330</v>
      </c>
      <c r="E44" s="6">
        <v>1009</v>
      </c>
      <c r="F44" s="5">
        <v>2023</v>
      </c>
    </row>
    <row r="45" spans="1:6" x14ac:dyDescent="0.25">
      <c r="A45" s="5" t="s">
        <v>368</v>
      </c>
      <c r="B45" s="5" t="s">
        <v>70</v>
      </c>
      <c r="C45" s="12">
        <v>45086</v>
      </c>
      <c r="D45" s="5" t="s">
        <v>330</v>
      </c>
      <c r="E45" s="6">
        <v>1365</v>
      </c>
      <c r="F45" s="5">
        <v>2023</v>
      </c>
    </row>
    <row r="46" spans="1:6" x14ac:dyDescent="0.25">
      <c r="A46" s="5" t="s">
        <v>369</v>
      </c>
      <c r="B46" s="5" t="s">
        <v>76</v>
      </c>
      <c r="C46" s="12">
        <v>45135</v>
      </c>
      <c r="D46" s="5" t="s">
        <v>324</v>
      </c>
      <c r="E46" s="6">
        <v>11558</v>
      </c>
      <c r="F46" s="5">
        <v>2023</v>
      </c>
    </row>
    <row r="47" spans="1:6" x14ac:dyDescent="0.25">
      <c r="A47" s="5" t="s">
        <v>370</v>
      </c>
      <c r="B47" s="5" t="s">
        <v>76</v>
      </c>
      <c r="C47" s="12">
        <v>45125</v>
      </c>
      <c r="D47" s="5" t="s">
        <v>324</v>
      </c>
      <c r="E47" s="6">
        <v>34077</v>
      </c>
      <c r="F47" s="5">
        <v>2023</v>
      </c>
    </row>
    <row r="48" spans="1:6" x14ac:dyDescent="0.25">
      <c r="A48" s="5" t="s">
        <v>371</v>
      </c>
      <c r="B48" s="5" t="s">
        <v>76</v>
      </c>
      <c r="C48" s="12">
        <v>45206</v>
      </c>
      <c r="D48" s="5" t="s">
        <v>12</v>
      </c>
      <c r="E48" s="6">
        <v>1607</v>
      </c>
      <c r="F48" s="5">
        <v>2023</v>
      </c>
    </row>
    <row r="49" spans="1:6" x14ac:dyDescent="0.25">
      <c r="A49" s="5" t="s">
        <v>372</v>
      </c>
      <c r="B49" s="5" t="s">
        <v>76</v>
      </c>
      <c r="C49" s="12">
        <v>45125</v>
      </c>
      <c r="D49" s="5" t="s">
        <v>12</v>
      </c>
      <c r="E49" s="6">
        <v>3097</v>
      </c>
      <c r="F49" s="5">
        <v>2023</v>
      </c>
    </row>
    <row r="50" spans="1:6" x14ac:dyDescent="0.25">
      <c r="A50" s="5" t="s">
        <v>373</v>
      </c>
      <c r="B50" s="5" t="s">
        <v>76</v>
      </c>
      <c r="C50" s="12">
        <v>45174</v>
      </c>
      <c r="D50" s="5" t="s">
        <v>12</v>
      </c>
      <c r="E50" s="6">
        <v>8031</v>
      </c>
      <c r="F50" s="5">
        <v>2023</v>
      </c>
    </row>
    <row r="51" spans="1:6" x14ac:dyDescent="0.25">
      <c r="A51" s="5" t="s">
        <v>374</v>
      </c>
      <c r="B51" s="5" t="s">
        <v>76</v>
      </c>
      <c r="C51" s="12">
        <v>45149</v>
      </c>
      <c r="D51" s="5" t="s">
        <v>330</v>
      </c>
      <c r="E51" s="6">
        <v>5473</v>
      </c>
      <c r="F51" s="5">
        <v>2023</v>
      </c>
    </row>
    <row r="52" spans="1:6" x14ac:dyDescent="0.25">
      <c r="A52" s="5" t="s">
        <v>375</v>
      </c>
      <c r="B52" s="5" t="s">
        <v>76</v>
      </c>
      <c r="C52" s="12">
        <v>45092</v>
      </c>
      <c r="D52" s="5" t="s">
        <v>330</v>
      </c>
      <c r="E52" s="6">
        <v>9937</v>
      </c>
      <c r="F52" s="5">
        <v>2023</v>
      </c>
    </row>
    <row r="53" spans="1:6" x14ac:dyDescent="0.25">
      <c r="A53" s="5" t="s">
        <v>376</v>
      </c>
      <c r="B53" s="5" t="s">
        <v>76</v>
      </c>
      <c r="C53" s="12">
        <v>45086</v>
      </c>
      <c r="D53" s="5" t="s">
        <v>330</v>
      </c>
      <c r="E53" s="6">
        <v>3350</v>
      </c>
      <c r="F53" s="5">
        <v>2023</v>
      </c>
    </row>
    <row r="54" spans="1:6" x14ac:dyDescent="0.25">
      <c r="A54" s="5" t="s">
        <v>377</v>
      </c>
      <c r="B54" s="5" t="s">
        <v>76</v>
      </c>
      <c r="C54" s="12">
        <v>45176</v>
      </c>
      <c r="D54" s="5" t="s">
        <v>330</v>
      </c>
      <c r="E54" s="6">
        <v>6712</v>
      </c>
      <c r="F54" s="5">
        <v>2023</v>
      </c>
    </row>
    <row r="55" spans="1:6" x14ac:dyDescent="0.25">
      <c r="A55" s="5" t="s">
        <v>378</v>
      </c>
      <c r="B55" s="5" t="s">
        <v>81</v>
      </c>
      <c r="C55" s="12">
        <v>45124</v>
      </c>
      <c r="D55" s="5" t="s">
        <v>324</v>
      </c>
      <c r="E55" s="6">
        <v>37563</v>
      </c>
      <c r="F55" s="5">
        <v>2023</v>
      </c>
    </row>
    <row r="56" spans="1:6" x14ac:dyDescent="0.25">
      <c r="A56" s="5" t="s">
        <v>379</v>
      </c>
      <c r="B56" s="5" t="s">
        <v>81</v>
      </c>
      <c r="C56" s="12">
        <v>45122</v>
      </c>
      <c r="D56" s="5" t="s">
        <v>324</v>
      </c>
      <c r="E56" s="6">
        <v>20404</v>
      </c>
      <c r="F56" s="5">
        <v>2023</v>
      </c>
    </row>
    <row r="57" spans="1:6" x14ac:dyDescent="0.25">
      <c r="A57" s="5" t="s">
        <v>380</v>
      </c>
      <c r="B57" s="5" t="s">
        <v>81</v>
      </c>
      <c r="C57" s="12">
        <v>45121</v>
      </c>
      <c r="D57" s="5" t="s">
        <v>12</v>
      </c>
      <c r="E57" s="6">
        <v>6681</v>
      </c>
      <c r="F57" s="5">
        <v>2023</v>
      </c>
    </row>
    <row r="58" spans="1:6" x14ac:dyDescent="0.25">
      <c r="A58" s="5" t="s">
        <v>381</v>
      </c>
      <c r="B58" s="5" t="s">
        <v>81</v>
      </c>
      <c r="C58" s="12">
        <v>45141</v>
      </c>
      <c r="D58" s="5" t="s">
        <v>12</v>
      </c>
      <c r="E58" s="6">
        <v>11597</v>
      </c>
      <c r="F58" s="5">
        <v>2023</v>
      </c>
    </row>
    <row r="59" spans="1:6" x14ac:dyDescent="0.25">
      <c r="A59" s="5" t="s">
        <v>382</v>
      </c>
      <c r="B59" s="5" t="s">
        <v>81</v>
      </c>
      <c r="C59" s="12">
        <v>45137</v>
      </c>
      <c r="D59" s="5" t="s">
        <v>330</v>
      </c>
      <c r="E59" s="6">
        <v>2316</v>
      </c>
      <c r="F59" s="5">
        <v>2023</v>
      </c>
    </row>
    <row r="60" spans="1:6" x14ac:dyDescent="0.25">
      <c r="A60" s="5" t="s">
        <v>383</v>
      </c>
      <c r="B60" s="5" t="s">
        <v>81</v>
      </c>
      <c r="C60" s="12">
        <v>45129</v>
      </c>
      <c r="D60" s="5" t="s">
        <v>330</v>
      </c>
      <c r="E60" s="6">
        <v>6410</v>
      </c>
      <c r="F60" s="5">
        <v>2023</v>
      </c>
    </row>
    <row r="61" spans="1:6" x14ac:dyDescent="0.25">
      <c r="A61" s="5" t="s">
        <v>384</v>
      </c>
      <c r="B61" s="5" t="s">
        <v>81</v>
      </c>
      <c r="C61" s="12">
        <v>45134</v>
      </c>
      <c r="D61" s="5" t="s">
        <v>330</v>
      </c>
      <c r="E61" s="6">
        <v>2316</v>
      </c>
      <c r="F61" s="5">
        <v>2023</v>
      </c>
    </row>
    <row r="62" spans="1:6" x14ac:dyDescent="0.25">
      <c r="A62" s="5" t="s">
        <v>385</v>
      </c>
      <c r="B62" s="5" t="s">
        <v>81</v>
      </c>
      <c r="C62" s="12">
        <v>45135</v>
      </c>
      <c r="D62" s="5" t="s">
        <v>330</v>
      </c>
      <c r="E62" s="6">
        <v>22230</v>
      </c>
      <c r="F62" s="5">
        <v>2023</v>
      </c>
    </row>
    <row r="63" spans="1:6" x14ac:dyDescent="0.25">
      <c r="A63" s="5" t="s">
        <v>386</v>
      </c>
      <c r="B63" s="5" t="s">
        <v>85</v>
      </c>
      <c r="C63" s="12">
        <v>45063</v>
      </c>
      <c r="D63" s="5" t="s">
        <v>324</v>
      </c>
      <c r="E63" s="6">
        <v>17058</v>
      </c>
      <c r="F63" s="5">
        <v>2023</v>
      </c>
    </row>
    <row r="64" spans="1:6" x14ac:dyDescent="0.25">
      <c r="A64" s="5" t="s">
        <v>387</v>
      </c>
      <c r="B64" s="5" t="s">
        <v>85</v>
      </c>
      <c r="C64" s="12">
        <v>45071</v>
      </c>
      <c r="D64" s="5" t="s">
        <v>324</v>
      </c>
      <c r="E64" s="6">
        <v>49231</v>
      </c>
      <c r="F64" s="5">
        <v>2023</v>
      </c>
    </row>
    <row r="65" spans="1:6" x14ac:dyDescent="0.25">
      <c r="A65" s="5" t="s">
        <v>388</v>
      </c>
      <c r="B65" s="5" t="s">
        <v>85</v>
      </c>
      <c r="C65" s="12">
        <v>45093</v>
      </c>
      <c r="D65" s="5" t="s">
        <v>12</v>
      </c>
      <c r="E65" s="6">
        <v>2096</v>
      </c>
      <c r="F65" s="5">
        <v>2023</v>
      </c>
    </row>
    <row r="66" spans="1:6" x14ac:dyDescent="0.25">
      <c r="A66" s="5" t="s">
        <v>389</v>
      </c>
      <c r="B66" s="5" t="s">
        <v>85</v>
      </c>
      <c r="C66" s="12">
        <v>45120</v>
      </c>
      <c r="D66" s="5" t="s">
        <v>12</v>
      </c>
      <c r="E66" s="6">
        <v>6240</v>
      </c>
      <c r="F66" s="5">
        <v>2023</v>
      </c>
    </row>
    <row r="67" spans="1:6" x14ac:dyDescent="0.25">
      <c r="A67" s="5" t="s">
        <v>390</v>
      </c>
      <c r="B67" s="5" t="s">
        <v>85</v>
      </c>
      <c r="C67" s="12">
        <v>45109</v>
      </c>
      <c r="D67" s="5" t="s">
        <v>12</v>
      </c>
      <c r="E67" s="6">
        <v>10163</v>
      </c>
      <c r="F67" s="5">
        <v>2023</v>
      </c>
    </row>
    <row r="68" spans="1:6" x14ac:dyDescent="0.25">
      <c r="A68" s="5" t="s">
        <v>391</v>
      </c>
      <c r="B68" s="5" t="s">
        <v>85</v>
      </c>
      <c r="C68" s="12">
        <v>45084</v>
      </c>
      <c r="D68" s="5" t="s">
        <v>330</v>
      </c>
      <c r="E68" s="6">
        <v>7681</v>
      </c>
      <c r="F68" s="5">
        <v>2023</v>
      </c>
    </row>
    <row r="69" spans="1:6" x14ac:dyDescent="0.25">
      <c r="A69" s="5" t="s">
        <v>392</v>
      </c>
      <c r="B69" s="5" t="s">
        <v>85</v>
      </c>
      <c r="C69" s="12">
        <v>45065</v>
      </c>
      <c r="D69" s="5" t="s">
        <v>330</v>
      </c>
      <c r="E69" s="6">
        <v>6751</v>
      </c>
      <c r="F69" s="5">
        <v>2023</v>
      </c>
    </row>
    <row r="70" spans="1:6" x14ac:dyDescent="0.25">
      <c r="A70" s="5" t="s">
        <v>393</v>
      </c>
      <c r="B70" s="5" t="s">
        <v>85</v>
      </c>
      <c r="C70" s="12">
        <v>45105</v>
      </c>
      <c r="D70" s="5" t="s">
        <v>330</v>
      </c>
      <c r="E70" s="6">
        <v>14753</v>
      </c>
      <c r="F70" s="5">
        <v>2023</v>
      </c>
    </row>
    <row r="71" spans="1:6" x14ac:dyDescent="0.25">
      <c r="A71" s="5" t="s">
        <v>394</v>
      </c>
      <c r="B71" s="5" t="s">
        <v>85</v>
      </c>
      <c r="C71" s="12">
        <v>45063</v>
      </c>
      <c r="D71" s="5" t="s">
        <v>330</v>
      </c>
      <c r="E71" s="6">
        <v>7815</v>
      </c>
      <c r="F71" s="5">
        <v>2023</v>
      </c>
    </row>
    <row r="72" spans="1:6" x14ac:dyDescent="0.25">
      <c r="A72" s="5" t="s">
        <v>395</v>
      </c>
      <c r="B72" s="5" t="s">
        <v>90</v>
      </c>
      <c r="C72" s="12">
        <v>45225</v>
      </c>
      <c r="D72" s="5" t="s">
        <v>324</v>
      </c>
      <c r="E72" s="6">
        <v>13785</v>
      </c>
      <c r="F72" s="5">
        <v>2023</v>
      </c>
    </row>
    <row r="73" spans="1:6" x14ac:dyDescent="0.25">
      <c r="A73" s="5" t="s">
        <v>396</v>
      </c>
      <c r="B73" s="5" t="s">
        <v>90</v>
      </c>
      <c r="C73" s="12">
        <v>45232</v>
      </c>
      <c r="D73" s="5" t="s">
        <v>324</v>
      </c>
      <c r="E73" s="6">
        <v>21308</v>
      </c>
      <c r="F73" s="5">
        <v>2023</v>
      </c>
    </row>
    <row r="74" spans="1:6" x14ac:dyDescent="0.25">
      <c r="A74" s="5" t="s">
        <v>397</v>
      </c>
      <c r="B74" s="5" t="s">
        <v>90</v>
      </c>
      <c r="C74" s="12">
        <v>45235</v>
      </c>
      <c r="D74" s="5" t="s">
        <v>12</v>
      </c>
      <c r="E74" s="6">
        <v>4392</v>
      </c>
      <c r="F74" s="5">
        <v>2023</v>
      </c>
    </row>
    <row r="75" spans="1:6" x14ac:dyDescent="0.25">
      <c r="A75" s="5" t="s">
        <v>398</v>
      </c>
      <c r="B75" s="5" t="s">
        <v>90</v>
      </c>
      <c r="C75" s="12">
        <v>45238</v>
      </c>
      <c r="D75" s="5" t="s">
        <v>12</v>
      </c>
      <c r="E75" s="6">
        <v>3504</v>
      </c>
      <c r="F75" s="5">
        <v>2023</v>
      </c>
    </row>
    <row r="76" spans="1:6" x14ac:dyDescent="0.25">
      <c r="A76" s="5" t="s">
        <v>399</v>
      </c>
      <c r="B76" s="5" t="s">
        <v>90</v>
      </c>
      <c r="C76" s="12">
        <v>45241</v>
      </c>
      <c r="D76" s="5" t="s">
        <v>12</v>
      </c>
      <c r="E76" s="6">
        <v>1897</v>
      </c>
      <c r="F76" s="5">
        <v>2023</v>
      </c>
    </row>
    <row r="77" spans="1:6" x14ac:dyDescent="0.25">
      <c r="A77" s="5" t="s">
        <v>400</v>
      </c>
      <c r="B77" s="5" t="s">
        <v>90</v>
      </c>
      <c r="C77" s="12">
        <v>45254</v>
      </c>
      <c r="D77" s="5" t="s">
        <v>330</v>
      </c>
      <c r="E77" s="6">
        <v>5700</v>
      </c>
      <c r="F77" s="5">
        <v>2023</v>
      </c>
    </row>
    <row r="78" spans="1:6" x14ac:dyDescent="0.25">
      <c r="A78" s="5" t="s">
        <v>401</v>
      </c>
      <c r="B78" s="5" t="s">
        <v>90</v>
      </c>
      <c r="C78" s="12">
        <v>45246</v>
      </c>
      <c r="D78" s="5" t="s">
        <v>330</v>
      </c>
      <c r="E78" s="6">
        <v>12022</v>
      </c>
      <c r="F78" s="5">
        <v>2023</v>
      </c>
    </row>
    <row r="79" spans="1:6" x14ac:dyDescent="0.25">
      <c r="A79" s="5" t="s">
        <v>402</v>
      </c>
      <c r="B79" s="5" t="s">
        <v>90</v>
      </c>
      <c r="C79" s="12">
        <v>45225</v>
      </c>
      <c r="D79" s="5" t="s">
        <v>330</v>
      </c>
      <c r="E79" s="6">
        <v>1867</v>
      </c>
      <c r="F79" s="5">
        <v>2023</v>
      </c>
    </row>
    <row r="80" spans="1:6" x14ac:dyDescent="0.25">
      <c r="A80" s="5" t="s">
        <v>403</v>
      </c>
      <c r="B80" s="5" t="s">
        <v>95</v>
      </c>
      <c r="C80" s="12">
        <v>45081</v>
      </c>
      <c r="D80" s="5" t="s">
        <v>324</v>
      </c>
      <c r="E80" s="6">
        <v>20948</v>
      </c>
      <c r="F80" s="5">
        <v>2023</v>
      </c>
    </row>
    <row r="81" spans="1:6" x14ac:dyDescent="0.25">
      <c r="A81" s="5" t="s">
        <v>404</v>
      </c>
      <c r="B81" s="5" t="s">
        <v>95</v>
      </c>
      <c r="C81" s="12">
        <v>45113</v>
      </c>
      <c r="D81" s="5" t="s">
        <v>324</v>
      </c>
      <c r="E81" s="6">
        <v>75034</v>
      </c>
      <c r="F81" s="5">
        <v>2023</v>
      </c>
    </row>
    <row r="82" spans="1:6" x14ac:dyDescent="0.25">
      <c r="A82" s="5" t="s">
        <v>405</v>
      </c>
      <c r="B82" s="5" t="s">
        <v>95</v>
      </c>
      <c r="C82" s="12">
        <v>45201</v>
      </c>
      <c r="D82" s="5" t="s">
        <v>12</v>
      </c>
      <c r="E82" s="6">
        <v>13988</v>
      </c>
      <c r="F82" s="5">
        <v>2023</v>
      </c>
    </row>
    <row r="83" spans="1:6" x14ac:dyDescent="0.25">
      <c r="A83" s="5" t="s">
        <v>406</v>
      </c>
      <c r="B83" s="5" t="s">
        <v>95</v>
      </c>
      <c r="C83" s="12">
        <v>45205</v>
      </c>
      <c r="D83" s="5" t="s">
        <v>12</v>
      </c>
      <c r="E83" s="6">
        <v>6881</v>
      </c>
      <c r="F83" s="5">
        <v>2023</v>
      </c>
    </row>
    <row r="84" spans="1:6" x14ac:dyDescent="0.25">
      <c r="A84" s="5" t="s">
        <v>407</v>
      </c>
      <c r="B84" s="5" t="s">
        <v>95</v>
      </c>
      <c r="C84" s="12">
        <v>45165</v>
      </c>
      <c r="D84" s="5" t="s">
        <v>12</v>
      </c>
      <c r="E84" s="6">
        <v>5916</v>
      </c>
      <c r="F84" s="5">
        <v>2023</v>
      </c>
    </row>
    <row r="85" spans="1:6" x14ac:dyDescent="0.25">
      <c r="A85" s="5" t="s">
        <v>408</v>
      </c>
      <c r="B85" s="5" t="s">
        <v>95</v>
      </c>
      <c r="C85" s="12">
        <v>45186</v>
      </c>
      <c r="D85" s="5" t="s">
        <v>330</v>
      </c>
      <c r="E85" s="6">
        <v>20664</v>
      </c>
      <c r="F85" s="5">
        <v>2023</v>
      </c>
    </row>
    <row r="86" spans="1:6" x14ac:dyDescent="0.25">
      <c r="A86" s="5" t="s">
        <v>409</v>
      </c>
      <c r="B86" s="5" t="s">
        <v>95</v>
      </c>
      <c r="C86" s="12">
        <v>45144</v>
      </c>
      <c r="D86" s="5" t="s">
        <v>330</v>
      </c>
      <c r="E86" s="6">
        <v>3662</v>
      </c>
      <c r="F86" s="5">
        <v>2023</v>
      </c>
    </row>
    <row r="87" spans="1:6" x14ac:dyDescent="0.25">
      <c r="A87" s="5" t="s">
        <v>410</v>
      </c>
      <c r="B87" s="5" t="s">
        <v>95</v>
      </c>
      <c r="C87" s="12">
        <v>45109</v>
      </c>
      <c r="D87" s="5" t="s">
        <v>330</v>
      </c>
      <c r="E87" s="6">
        <v>22836</v>
      </c>
      <c r="F87" s="5">
        <v>2023</v>
      </c>
    </row>
    <row r="88" spans="1:6" x14ac:dyDescent="0.25">
      <c r="A88" s="5" t="s">
        <v>411</v>
      </c>
      <c r="B88" s="5" t="s">
        <v>95</v>
      </c>
      <c r="C88" s="12">
        <v>45094</v>
      </c>
      <c r="D88" s="5" t="s">
        <v>330</v>
      </c>
      <c r="E88" s="6">
        <v>3238</v>
      </c>
      <c r="F88" s="5">
        <v>2023</v>
      </c>
    </row>
    <row r="89" spans="1:6" x14ac:dyDescent="0.25">
      <c r="A89" s="5" t="s">
        <v>412</v>
      </c>
      <c r="B89" s="5" t="s">
        <v>95</v>
      </c>
      <c r="C89" s="12">
        <v>45165</v>
      </c>
      <c r="D89" s="5" t="s">
        <v>330</v>
      </c>
      <c r="E89" s="6">
        <v>3173</v>
      </c>
      <c r="F89" s="5">
        <v>2023</v>
      </c>
    </row>
    <row r="90" spans="1:6" x14ac:dyDescent="0.25">
      <c r="A90" s="5" t="s">
        <v>413</v>
      </c>
      <c r="B90" s="5" t="s">
        <v>100</v>
      </c>
      <c r="C90" s="12">
        <v>45282</v>
      </c>
      <c r="D90" s="5" t="s">
        <v>324</v>
      </c>
      <c r="E90" s="6">
        <v>66506</v>
      </c>
      <c r="F90" s="5">
        <v>2023</v>
      </c>
    </row>
    <row r="91" spans="1:6" x14ac:dyDescent="0.25">
      <c r="A91" s="5" t="s">
        <v>414</v>
      </c>
      <c r="B91" s="5" t="s">
        <v>100</v>
      </c>
      <c r="C91" s="12">
        <v>45270</v>
      </c>
      <c r="D91" s="5" t="s">
        <v>324</v>
      </c>
      <c r="E91" s="6">
        <v>53252</v>
      </c>
      <c r="F91" s="5">
        <v>2023</v>
      </c>
    </row>
    <row r="92" spans="1:6" x14ac:dyDescent="0.25">
      <c r="A92" s="5" t="s">
        <v>415</v>
      </c>
      <c r="B92" s="5" t="s">
        <v>100</v>
      </c>
      <c r="C92" s="12">
        <v>45337</v>
      </c>
      <c r="D92" s="5" t="s">
        <v>12</v>
      </c>
      <c r="E92" s="6">
        <v>25830</v>
      </c>
      <c r="F92" s="5">
        <v>2023</v>
      </c>
    </row>
    <row r="93" spans="1:6" x14ac:dyDescent="0.25">
      <c r="A93" s="5" t="s">
        <v>416</v>
      </c>
      <c r="B93" s="5" t="s">
        <v>100</v>
      </c>
      <c r="C93" s="12">
        <v>45283</v>
      </c>
      <c r="D93" s="5" t="s">
        <v>12</v>
      </c>
      <c r="E93" s="6">
        <v>14197</v>
      </c>
      <c r="F93" s="5">
        <v>2023</v>
      </c>
    </row>
    <row r="94" spans="1:6" x14ac:dyDescent="0.25">
      <c r="A94" s="5" t="s">
        <v>417</v>
      </c>
      <c r="B94" s="5" t="s">
        <v>100</v>
      </c>
      <c r="C94" s="12">
        <v>45252</v>
      </c>
      <c r="D94" s="5" t="s">
        <v>330</v>
      </c>
      <c r="E94" s="6">
        <v>7778</v>
      </c>
      <c r="F94" s="5">
        <v>2023</v>
      </c>
    </row>
    <row r="95" spans="1:6" x14ac:dyDescent="0.25">
      <c r="A95" s="5" t="s">
        <v>418</v>
      </c>
      <c r="B95" s="5" t="s">
        <v>100</v>
      </c>
      <c r="C95" s="12">
        <v>45283</v>
      </c>
      <c r="D95" s="5" t="s">
        <v>330</v>
      </c>
      <c r="E95" s="6">
        <v>5455</v>
      </c>
      <c r="F95" s="5">
        <v>2023</v>
      </c>
    </row>
    <row r="96" spans="1:6" x14ac:dyDescent="0.25">
      <c r="A96" s="5" t="s">
        <v>419</v>
      </c>
      <c r="B96" s="5" t="s">
        <v>100</v>
      </c>
      <c r="C96" s="12">
        <v>45317</v>
      </c>
      <c r="D96" s="5" t="s">
        <v>330</v>
      </c>
      <c r="E96" s="6">
        <v>38111</v>
      </c>
      <c r="F96" s="5">
        <v>2023</v>
      </c>
    </row>
    <row r="97" spans="1:6" x14ac:dyDescent="0.25">
      <c r="A97" s="5" t="s">
        <v>420</v>
      </c>
      <c r="B97" s="5" t="s">
        <v>100</v>
      </c>
      <c r="C97" s="12">
        <v>45318</v>
      </c>
      <c r="D97" s="5" t="s">
        <v>330</v>
      </c>
      <c r="E97" s="6">
        <v>21727</v>
      </c>
      <c r="F97" s="5">
        <v>2023</v>
      </c>
    </row>
    <row r="98" spans="1:6" x14ac:dyDescent="0.25">
      <c r="A98" s="5" t="s">
        <v>421</v>
      </c>
      <c r="B98" s="5" t="s">
        <v>104</v>
      </c>
      <c r="C98" s="12">
        <v>45113</v>
      </c>
      <c r="D98" s="5" t="s">
        <v>324</v>
      </c>
      <c r="E98" s="6">
        <v>29203</v>
      </c>
      <c r="F98" s="5">
        <v>2023</v>
      </c>
    </row>
    <row r="99" spans="1:6" x14ac:dyDescent="0.25">
      <c r="A99" s="5" t="s">
        <v>422</v>
      </c>
      <c r="B99" s="5" t="s">
        <v>104</v>
      </c>
      <c r="C99" s="12">
        <v>45122</v>
      </c>
      <c r="D99" s="5" t="s">
        <v>324</v>
      </c>
      <c r="E99" s="6">
        <v>9624</v>
      </c>
      <c r="F99" s="5">
        <v>2023</v>
      </c>
    </row>
    <row r="100" spans="1:6" x14ac:dyDescent="0.25">
      <c r="A100" s="5" t="s">
        <v>423</v>
      </c>
      <c r="B100" s="5" t="s">
        <v>104</v>
      </c>
      <c r="C100" s="12">
        <v>45201</v>
      </c>
      <c r="D100" s="5" t="s">
        <v>12</v>
      </c>
      <c r="E100" s="6">
        <v>7137</v>
      </c>
      <c r="F100" s="5">
        <v>2023</v>
      </c>
    </row>
    <row r="101" spans="1:6" x14ac:dyDescent="0.25">
      <c r="A101" s="5" t="s">
        <v>424</v>
      </c>
      <c r="B101" s="5" t="s">
        <v>104</v>
      </c>
      <c r="C101" s="12">
        <v>45194</v>
      </c>
      <c r="D101" s="5" t="s">
        <v>12</v>
      </c>
      <c r="E101" s="6">
        <v>2621</v>
      </c>
      <c r="F101" s="5">
        <v>2023</v>
      </c>
    </row>
    <row r="102" spans="1:6" x14ac:dyDescent="0.25">
      <c r="A102" s="5" t="s">
        <v>425</v>
      </c>
      <c r="B102" s="5" t="s">
        <v>104</v>
      </c>
      <c r="C102" s="12">
        <v>45190</v>
      </c>
      <c r="D102" s="5" t="s">
        <v>12</v>
      </c>
      <c r="E102" s="6">
        <v>1077</v>
      </c>
      <c r="F102" s="5">
        <v>2023</v>
      </c>
    </row>
    <row r="103" spans="1:6" x14ac:dyDescent="0.25">
      <c r="A103" s="5" t="s">
        <v>426</v>
      </c>
      <c r="B103" s="5" t="s">
        <v>104</v>
      </c>
      <c r="C103" s="12">
        <v>45160</v>
      </c>
      <c r="D103" s="5" t="s">
        <v>330</v>
      </c>
      <c r="E103" s="6">
        <v>4794</v>
      </c>
      <c r="F103" s="5">
        <v>2023</v>
      </c>
    </row>
    <row r="104" spans="1:6" x14ac:dyDescent="0.25">
      <c r="A104" s="5" t="s">
        <v>427</v>
      </c>
      <c r="B104" s="5" t="s">
        <v>104</v>
      </c>
      <c r="C104" s="12">
        <v>45121</v>
      </c>
      <c r="D104" s="5" t="s">
        <v>330</v>
      </c>
      <c r="E104" s="6">
        <v>3686</v>
      </c>
      <c r="F104" s="5">
        <v>2023</v>
      </c>
    </row>
    <row r="105" spans="1:6" x14ac:dyDescent="0.25">
      <c r="A105" s="5" t="s">
        <v>428</v>
      </c>
      <c r="B105" s="5" t="s">
        <v>104</v>
      </c>
      <c r="C105" s="12">
        <v>45127</v>
      </c>
      <c r="D105" s="5" t="s">
        <v>330</v>
      </c>
      <c r="E105" s="6">
        <v>6345</v>
      </c>
      <c r="F105" s="5">
        <v>2023</v>
      </c>
    </row>
    <row r="106" spans="1:6" x14ac:dyDescent="0.25">
      <c r="A106" s="5" t="s">
        <v>429</v>
      </c>
      <c r="B106" s="5" t="s">
        <v>104</v>
      </c>
      <c r="C106" s="12">
        <v>45162</v>
      </c>
      <c r="D106" s="5" t="s">
        <v>330</v>
      </c>
      <c r="E106" s="6">
        <v>6848</v>
      </c>
      <c r="F106" s="5">
        <v>2023</v>
      </c>
    </row>
    <row r="107" spans="1:6" x14ac:dyDescent="0.25">
      <c r="A107" s="5" t="s">
        <v>430</v>
      </c>
      <c r="B107" s="5" t="s">
        <v>107</v>
      </c>
      <c r="C107" s="12">
        <v>45222</v>
      </c>
      <c r="D107" s="5" t="s">
        <v>324</v>
      </c>
      <c r="E107" s="6">
        <v>20639</v>
      </c>
      <c r="F107" s="5">
        <v>2023</v>
      </c>
    </row>
    <row r="108" spans="1:6" x14ac:dyDescent="0.25">
      <c r="A108" s="5" t="s">
        <v>431</v>
      </c>
      <c r="B108" s="5" t="s">
        <v>107</v>
      </c>
      <c r="C108" s="12">
        <v>45213</v>
      </c>
      <c r="D108" s="5" t="s">
        <v>324</v>
      </c>
      <c r="E108" s="6">
        <v>11464</v>
      </c>
      <c r="F108" s="5">
        <v>2023</v>
      </c>
    </row>
    <row r="109" spans="1:6" x14ac:dyDescent="0.25">
      <c r="A109" s="5" t="s">
        <v>432</v>
      </c>
      <c r="B109" s="5" t="s">
        <v>107</v>
      </c>
      <c r="C109" s="12">
        <v>45233</v>
      </c>
      <c r="D109" s="5" t="s">
        <v>324</v>
      </c>
      <c r="E109" s="6">
        <v>9869</v>
      </c>
      <c r="F109" s="5">
        <v>2023</v>
      </c>
    </row>
    <row r="110" spans="1:6" x14ac:dyDescent="0.25">
      <c r="A110" s="5" t="s">
        <v>433</v>
      </c>
      <c r="B110" s="5" t="s">
        <v>107</v>
      </c>
      <c r="C110" s="12">
        <v>45256</v>
      </c>
      <c r="D110" s="5" t="s">
        <v>12</v>
      </c>
      <c r="E110" s="6">
        <v>3817</v>
      </c>
      <c r="F110" s="5">
        <v>2023</v>
      </c>
    </row>
    <row r="111" spans="1:6" x14ac:dyDescent="0.25">
      <c r="A111" s="5" t="s">
        <v>434</v>
      </c>
      <c r="B111" s="5" t="s">
        <v>107</v>
      </c>
      <c r="C111" s="12">
        <v>45331</v>
      </c>
      <c r="D111" s="5" t="s">
        <v>12</v>
      </c>
      <c r="E111" s="6">
        <v>7896</v>
      </c>
      <c r="F111" s="5">
        <v>2023</v>
      </c>
    </row>
    <row r="112" spans="1:6" x14ac:dyDescent="0.25">
      <c r="A112" s="5" t="s">
        <v>435</v>
      </c>
      <c r="B112" s="5" t="s">
        <v>107</v>
      </c>
      <c r="C112" s="12">
        <v>45252</v>
      </c>
      <c r="D112" s="5" t="s">
        <v>330</v>
      </c>
      <c r="E112" s="6">
        <v>4522</v>
      </c>
      <c r="F112" s="5">
        <v>2023</v>
      </c>
    </row>
    <row r="113" spans="1:6" x14ac:dyDescent="0.25">
      <c r="A113" s="5" t="s">
        <v>436</v>
      </c>
      <c r="B113" s="5" t="s">
        <v>107</v>
      </c>
      <c r="C113" s="12">
        <v>45291</v>
      </c>
      <c r="D113" s="5" t="s">
        <v>330</v>
      </c>
      <c r="E113" s="6">
        <v>4674</v>
      </c>
      <c r="F113" s="5">
        <v>2023</v>
      </c>
    </row>
    <row r="114" spans="1:6" x14ac:dyDescent="0.25">
      <c r="A114" s="5" t="s">
        <v>437</v>
      </c>
      <c r="B114" s="5" t="s">
        <v>107</v>
      </c>
      <c r="C114" s="12">
        <v>45260</v>
      </c>
      <c r="D114" s="5" t="s">
        <v>330</v>
      </c>
      <c r="E114" s="6">
        <v>6710</v>
      </c>
      <c r="F114" s="5">
        <v>2023</v>
      </c>
    </row>
    <row r="115" spans="1:6" x14ac:dyDescent="0.25">
      <c r="A115" s="5" t="s">
        <v>438</v>
      </c>
      <c r="B115" s="5" t="s">
        <v>107</v>
      </c>
      <c r="C115" s="12">
        <v>45275</v>
      </c>
      <c r="D115" s="5" t="s">
        <v>330</v>
      </c>
      <c r="E115" s="6">
        <v>4903</v>
      </c>
      <c r="F115" s="5">
        <v>2023</v>
      </c>
    </row>
    <row r="116" spans="1:6" x14ac:dyDescent="0.25">
      <c r="A116" s="5" t="s">
        <v>439</v>
      </c>
      <c r="B116" s="5" t="s">
        <v>107</v>
      </c>
      <c r="C116" s="12">
        <v>45248</v>
      </c>
      <c r="D116" s="5" t="s">
        <v>330</v>
      </c>
      <c r="E116" s="6">
        <v>2619</v>
      </c>
      <c r="F116" s="5">
        <v>2023</v>
      </c>
    </row>
    <row r="117" spans="1:6" x14ac:dyDescent="0.25">
      <c r="A117" s="5" t="s">
        <v>440</v>
      </c>
      <c r="B117" s="5" t="s">
        <v>109</v>
      </c>
      <c r="C117" s="12">
        <v>45269</v>
      </c>
      <c r="D117" s="5" t="s">
        <v>324</v>
      </c>
      <c r="E117" s="6">
        <v>1159</v>
      </c>
      <c r="F117" s="5">
        <v>2023</v>
      </c>
    </row>
    <row r="118" spans="1:6" x14ac:dyDescent="0.25">
      <c r="A118" s="5" t="s">
        <v>441</v>
      </c>
      <c r="B118" s="5" t="s">
        <v>109</v>
      </c>
      <c r="C118" s="12">
        <v>45273</v>
      </c>
      <c r="D118" s="5" t="s">
        <v>324</v>
      </c>
      <c r="E118" s="6">
        <v>3187</v>
      </c>
      <c r="F118" s="5">
        <v>2023</v>
      </c>
    </row>
    <row r="119" spans="1:6" x14ac:dyDescent="0.25">
      <c r="A119" s="5" t="s">
        <v>442</v>
      </c>
      <c r="B119" s="5" t="s">
        <v>109</v>
      </c>
      <c r="C119" s="12">
        <v>45268</v>
      </c>
      <c r="D119" s="5" t="s">
        <v>324</v>
      </c>
      <c r="E119" s="6">
        <v>5831</v>
      </c>
      <c r="F119" s="5">
        <v>2023</v>
      </c>
    </row>
    <row r="120" spans="1:6" x14ac:dyDescent="0.25">
      <c r="A120" s="5" t="s">
        <v>443</v>
      </c>
      <c r="B120" s="5" t="s">
        <v>109</v>
      </c>
      <c r="C120" s="12">
        <v>45255</v>
      </c>
      <c r="D120" s="5" t="s">
        <v>324</v>
      </c>
      <c r="E120" s="6">
        <v>5384</v>
      </c>
      <c r="F120" s="5">
        <v>2023</v>
      </c>
    </row>
    <row r="121" spans="1:6" x14ac:dyDescent="0.25">
      <c r="A121" s="5" t="s">
        <v>444</v>
      </c>
      <c r="B121" s="5" t="s">
        <v>109</v>
      </c>
      <c r="C121" s="12">
        <v>45310</v>
      </c>
      <c r="D121" s="5" t="s">
        <v>12</v>
      </c>
      <c r="E121" s="6">
        <v>4342</v>
      </c>
      <c r="F121" s="5">
        <v>2023</v>
      </c>
    </row>
    <row r="122" spans="1:6" x14ac:dyDescent="0.25">
      <c r="A122" s="5" t="s">
        <v>445</v>
      </c>
      <c r="B122" s="5" t="s">
        <v>109</v>
      </c>
      <c r="C122" s="12">
        <v>45283</v>
      </c>
      <c r="D122" s="5" t="s">
        <v>330</v>
      </c>
      <c r="E122" s="6">
        <v>3330</v>
      </c>
      <c r="F122" s="5">
        <v>2023</v>
      </c>
    </row>
    <row r="123" spans="1:6" x14ac:dyDescent="0.25">
      <c r="A123" s="5" t="s">
        <v>446</v>
      </c>
      <c r="B123" s="5" t="s">
        <v>109</v>
      </c>
      <c r="C123" s="12">
        <v>45292</v>
      </c>
      <c r="D123" s="5" t="s">
        <v>330</v>
      </c>
      <c r="E123" s="6">
        <v>1790</v>
      </c>
      <c r="F123" s="5">
        <v>2023</v>
      </c>
    </row>
    <row r="124" spans="1:6" x14ac:dyDescent="0.25">
      <c r="A124" s="5" t="s">
        <v>447</v>
      </c>
      <c r="B124" s="5" t="s">
        <v>109</v>
      </c>
      <c r="C124" s="12">
        <v>45291</v>
      </c>
      <c r="D124" s="5" t="s">
        <v>330</v>
      </c>
      <c r="E124" s="6">
        <v>949</v>
      </c>
      <c r="F124" s="5">
        <v>2023</v>
      </c>
    </row>
    <row r="125" spans="1:6" x14ac:dyDescent="0.25">
      <c r="A125" s="5" t="s">
        <v>448</v>
      </c>
      <c r="B125" s="5" t="s">
        <v>109</v>
      </c>
      <c r="C125" s="12">
        <v>45264</v>
      </c>
      <c r="D125" s="5" t="s">
        <v>330</v>
      </c>
      <c r="E125" s="6">
        <v>509</v>
      </c>
      <c r="F125" s="5">
        <v>2023</v>
      </c>
    </row>
    <row r="126" spans="1:6" x14ac:dyDescent="0.25">
      <c r="A126" s="5" t="s">
        <v>449</v>
      </c>
      <c r="B126" s="5" t="s">
        <v>109</v>
      </c>
      <c r="C126" s="12">
        <v>45295</v>
      </c>
      <c r="D126" s="5" t="s">
        <v>330</v>
      </c>
      <c r="E126" s="6">
        <v>2109</v>
      </c>
      <c r="F126" s="5">
        <v>2023</v>
      </c>
    </row>
    <row r="127" spans="1:6" x14ac:dyDescent="0.25">
      <c r="A127" s="5" t="s">
        <v>450</v>
      </c>
      <c r="B127" s="5" t="s">
        <v>114</v>
      </c>
      <c r="C127" s="12">
        <v>45065</v>
      </c>
      <c r="D127" s="5" t="s">
        <v>324</v>
      </c>
      <c r="E127" s="6">
        <v>25064</v>
      </c>
      <c r="F127" s="5">
        <v>2023</v>
      </c>
    </row>
    <row r="128" spans="1:6" x14ac:dyDescent="0.25">
      <c r="A128" s="5" t="s">
        <v>451</v>
      </c>
      <c r="B128" s="5" t="s">
        <v>114</v>
      </c>
      <c r="C128" s="12">
        <v>45071</v>
      </c>
      <c r="D128" s="5" t="s">
        <v>324</v>
      </c>
      <c r="E128" s="6">
        <v>23571</v>
      </c>
      <c r="F128" s="5">
        <v>2023</v>
      </c>
    </row>
    <row r="129" spans="1:6" x14ac:dyDescent="0.25">
      <c r="A129" s="5" t="s">
        <v>452</v>
      </c>
      <c r="B129" s="5" t="s">
        <v>114</v>
      </c>
      <c r="C129" s="12">
        <v>45111</v>
      </c>
      <c r="D129" s="5" t="s">
        <v>324</v>
      </c>
      <c r="E129" s="6">
        <v>29544</v>
      </c>
      <c r="F129" s="5">
        <v>2023</v>
      </c>
    </row>
    <row r="130" spans="1:6" x14ac:dyDescent="0.25">
      <c r="A130" s="5" t="s">
        <v>453</v>
      </c>
      <c r="B130" s="5" t="s">
        <v>114</v>
      </c>
      <c r="C130" s="12">
        <v>45083</v>
      </c>
      <c r="D130" s="5" t="s">
        <v>324</v>
      </c>
      <c r="E130" s="6">
        <v>6081</v>
      </c>
      <c r="F130" s="5">
        <v>2023</v>
      </c>
    </row>
    <row r="131" spans="1:6" x14ac:dyDescent="0.25">
      <c r="A131" s="5" t="s">
        <v>454</v>
      </c>
      <c r="B131" s="5" t="s">
        <v>114</v>
      </c>
      <c r="C131" s="12">
        <v>45119</v>
      </c>
      <c r="D131" s="5" t="s">
        <v>12</v>
      </c>
      <c r="E131" s="6">
        <v>23514</v>
      </c>
      <c r="F131" s="5">
        <v>2023</v>
      </c>
    </row>
    <row r="132" spans="1:6" x14ac:dyDescent="0.25">
      <c r="A132" s="5" t="s">
        <v>455</v>
      </c>
      <c r="B132" s="5" t="s">
        <v>114</v>
      </c>
      <c r="C132" s="12">
        <v>45124</v>
      </c>
      <c r="D132" s="5" t="s">
        <v>330</v>
      </c>
      <c r="E132" s="6">
        <v>8331</v>
      </c>
      <c r="F132" s="5">
        <v>2023</v>
      </c>
    </row>
    <row r="133" spans="1:6" x14ac:dyDescent="0.25">
      <c r="A133" s="5" t="s">
        <v>456</v>
      </c>
      <c r="B133" s="5" t="s">
        <v>114</v>
      </c>
      <c r="C133" s="12">
        <v>45107</v>
      </c>
      <c r="D133" s="5" t="s">
        <v>330</v>
      </c>
      <c r="E133" s="6">
        <v>10727</v>
      </c>
      <c r="F133" s="5">
        <v>2023</v>
      </c>
    </row>
    <row r="134" spans="1:6" x14ac:dyDescent="0.25">
      <c r="A134" s="5" t="s">
        <v>457</v>
      </c>
      <c r="B134" s="5" t="s">
        <v>114</v>
      </c>
      <c r="C134" s="12">
        <v>45073</v>
      </c>
      <c r="D134" s="5" t="s">
        <v>330</v>
      </c>
      <c r="E134" s="6">
        <v>14367</v>
      </c>
      <c r="F134" s="5">
        <v>2023</v>
      </c>
    </row>
    <row r="135" spans="1:6" x14ac:dyDescent="0.25">
      <c r="A135" s="5" t="s">
        <v>458</v>
      </c>
      <c r="B135" s="5" t="s">
        <v>114</v>
      </c>
      <c r="C135" s="12">
        <v>45091</v>
      </c>
      <c r="D135" s="5" t="s">
        <v>330</v>
      </c>
      <c r="E135" s="6">
        <v>13605</v>
      </c>
      <c r="F135" s="5">
        <v>2023</v>
      </c>
    </row>
    <row r="136" spans="1:6" x14ac:dyDescent="0.25">
      <c r="A136" s="5" t="s">
        <v>459</v>
      </c>
      <c r="B136" s="5" t="s">
        <v>116</v>
      </c>
      <c r="C136" s="12">
        <v>45111</v>
      </c>
      <c r="D136" s="5" t="s">
        <v>324</v>
      </c>
      <c r="E136" s="6">
        <v>18798</v>
      </c>
      <c r="F136" s="5">
        <v>2023</v>
      </c>
    </row>
    <row r="137" spans="1:6" x14ac:dyDescent="0.25">
      <c r="A137" s="5" t="s">
        <v>460</v>
      </c>
      <c r="B137" s="5" t="s">
        <v>116</v>
      </c>
      <c r="C137" s="12">
        <v>45091</v>
      </c>
      <c r="D137" s="5" t="s">
        <v>324</v>
      </c>
      <c r="E137" s="6">
        <v>24180</v>
      </c>
      <c r="F137" s="5">
        <v>2023</v>
      </c>
    </row>
    <row r="138" spans="1:6" x14ac:dyDescent="0.25">
      <c r="A138" s="5" t="s">
        <v>461</v>
      </c>
      <c r="B138" s="5" t="s">
        <v>116</v>
      </c>
      <c r="C138" s="12">
        <v>45081</v>
      </c>
      <c r="D138" s="5" t="s">
        <v>324</v>
      </c>
      <c r="E138" s="6">
        <v>25577</v>
      </c>
      <c r="F138" s="5">
        <v>2023</v>
      </c>
    </row>
    <row r="139" spans="1:6" x14ac:dyDescent="0.25">
      <c r="A139" s="5" t="s">
        <v>462</v>
      </c>
      <c r="B139" s="5" t="s">
        <v>116</v>
      </c>
      <c r="C139" s="12">
        <v>45129</v>
      </c>
      <c r="D139" s="5" t="s">
        <v>12</v>
      </c>
      <c r="E139" s="6">
        <v>22913</v>
      </c>
      <c r="F139" s="5">
        <v>2023</v>
      </c>
    </row>
    <row r="140" spans="1:6" x14ac:dyDescent="0.25">
      <c r="A140" s="5" t="s">
        <v>463</v>
      </c>
      <c r="B140" s="5" t="s">
        <v>116</v>
      </c>
      <c r="C140" s="12">
        <v>45082</v>
      </c>
      <c r="D140" s="5" t="s">
        <v>330</v>
      </c>
      <c r="E140" s="6">
        <v>9015</v>
      </c>
      <c r="F140" s="5">
        <v>2023</v>
      </c>
    </row>
    <row r="141" spans="1:6" x14ac:dyDescent="0.25">
      <c r="A141" s="5" t="s">
        <v>464</v>
      </c>
      <c r="B141" s="5" t="s">
        <v>116</v>
      </c>
      <c r="C141" s="12">
        <v>45099</v>
      </c>
      <c r="D141" s="5" t="s">
        <v>330</v>
      </c>
      <c r="E141" s="6">
        <v>6062</v>
      </c>
      <c r="F141" s="5">
        <v>2023</v>
      </c>
    </row>
    <row r="142" spans="1:6" x14ac:dyDescent="0.25">
      <c r="A142" s="5" t="s">
        <v>465</v>
      </c>
      <c r="B142" s="5" t="s">
        <v>116</v>
      </c>
      <c r="C142" s="12">
        <v>45118</v>
      </c>
      <c r="D142" s="5" t="s">
        <v>330</v>
      </c>
      <c r="E142" s="6">
        <v>16270</v>
      </c>
      <c r="F142" s="5">
        <v>2023</v>
      </c>
    </row>
    <row r="143" spans="1:6" x14ac:dyDescent="0.25">
      <c r="A143" s="5" t="s">
        <v>466</v>
      </c>
      <c r="B143" s="5" t="s">
        <v>116</v>
      </c>
      <c r="C143" s="12">
        <v>45174</v>
      </c>
      <c r="D143" s="5" t="s">
        <v>330</v>
      </c>
      <c r="E143" s="6">
        <v>10482</v>
      </c>
      <c r="F143" s="5">
        <v>2023</v>
      </c>
    </row>
    <row r="144" spans="1:6" x14ac:dyDescent="0.25">
      <c r="A144" s="5" t="s">
        <v>467</v>
      </c>
      <c r="B144" s="5" t="s">
        <v>122</v>
      </c>
      <c r="C144" s="12">
        <v>45231</v>
      </c>
      <c r="D144" s="5" t="s">
        <v>324</v>
      </c>
      <c r="E144" s="6">
        <v>21980</v>
      </c>
      <c r="F144" s="5">
        <v>2023</v>
      </c>
    </row>
    <row r="145" spans="1:6" x14ac:dyDescent="0.25">
      <c r="A145" s="5" t="s">
        <v>468</v>
      </c>
      <c r="B145" s="5" t="s">
        <v>122</v>
      </c>
      <c r="C145" s="12">
        <v>45226</v>
      </c>
      <c r="D145" s="5" t="s">
        <v>324</v>
      </c>
      <c r="E145" s="6">
        <v>7256</v>
      </c>
      <c r="F145" s="5">
        <v>2023</v>
      </c>
    </row>
    <row r="146" spans="1:6" x14ac:dyDescent="0.25">
      <c r="A146" s="5" t="s">
        <v>469</v>
      </c>
      <c r="B146" s="5" t="s">
        <v>122</v>
      </c>
      <c r="C146" s="12">
        <v>45250</v>
      </c>
      <c r="D146" s="5" t="s">
        <v>12</v>
      </c>
      <c r="E146" s="6">
        <v>8159</v>
      </c>
      <c r="F146" s="5">
        <v>2023</v>
      </c>
    </row>
    <row r="147" spans="1:6" x14ac:dyDescent="0.25">
      <c r="A147" s="5" t="s">
        <v>470</v>
      </c>
      <c r="B147" s="5" t="s">
        <v>122</v>
      </c>
      <c r="C147" s="12">
        <v>45257</v>
      </c>
      <c r="D147" s="5" t="s">
        <v>330</v>
      </c>
      <c r="E147" s="6">
        <v>8148</v>
      </c>
      <c r="F147" s="5">
        <v>2023</v>
      </c>
    </row>
    <row r="148" spans="1:6" x14ac:dyDescent="0.25">
      <c r="A148" s="5" t="s">
        <v>471</v>
      </c>
      <c r="B148" s="5" t="s">
        <v>122</v>
      </c>
      <c r="C148" s="12">
        <v>45255</v>
      </c>
      <c r="D148" s="5" t="s">
        <v>330</v>
      </c>
      <c r="E148" s="6">
        <v>1623</v>
      </c>
      <c r="F148" s="5">
        <v>2023</v>
      </c>
    </row>
    <row r="149" spans="1:6" x14ac:dyDescent="0.25">
      <c r="A149" s="5" t="s">
        <v>472</v>
      </c>
      <c r="B149" s="5" t="s">
        <v>122</v>
      </c>
      <c r="C149" s="12">
        <v>45248</v>
      </c>
      <c r="D149" s="5" t="s">
        <v>330</v>
      </c>
      <c r="E149" s="6">
        <v>6548</v>
      </c>
      <c r="F149" s="5">
        <v>2023</v>
      </c>
    </row>
    <row r="150" spans="1:6" x14ac:dyDescent="0.25">
      <c r="A150" s="5" t="s">
        <v>473</v>
      </c>
      <c r="B150" s="5" t="s">
        <v>127</v>
      </c>
      <c r="C150" s="12">
        <v>45053</v>
      </c>
      <c r="D150" s="5" t="s">
        <v>324</v>
      </c>
      <c r="E150" s="6">
        <v>28919</v>
      </c>
      <c r="F150" s="5">
        <v>2023</v>
      </c>
    </row>
    <row r="151" spans="1:6" x14ac:dyDescent="0.25">
      <c r="A151" s="5" t="s">
        <v>474</v>
      </c>
      <c r="B151" s="5" t="s">
        <v>127</v>
      </c>
      <c r="C151" s="12">
        <v>45060</v>
      </c>
      <c r="D151" s="5" t="s">
        <v>324</v>
      </c>
      <c r="E151" s="6">
        <v>35933</v>
      </c>
      <c r="F151" s="5">
        <v>2023</v>
      </c>
    </row>
    <row r="152" spans="1:6" x14ac:dyDescent="0.25">
      <c r="A152" s="5" t="s">
        <v>475</v>
      </c>
      <c r="B152" s="5" t="s">
        <v>127</v>
      </c>
      <c r="C152" s="12">
        <v>45084</v>
      </c>
      <c r="D152" s="5" t="s">
        <v>324</v>
      </c>
      <c r="E152" s="6">
        <v>7084</v>
      </c>
      <c r="F152" s="5">
        <v>2023</v>
      </c>
    </row>
    <row r="153" spans="1:6" x14ac:dyDescent="0.25">
      <c r="A153" s="5" t="s">
        <v>476</v>
      </c>
      <c r="B153" s="5" t="s">
        <v>127</v>
      </c>
      <c r="C153" s="12">
        <v>45138</v>
      </c>
      <c r="D153" s="5" t="s">
        <v>12</v>
      </c>
      <c r="E153" s="6">
        <v>20075</v>
      </c>
      <c r="F153" s="5">
        <v>2023</v>
      </c>
    </row>
    <row r="154" spans="1:6" x14ac:dyDescent="0.25">
      <c r="A154" s="5" t="s">
        <v>477</v>
      </c>
      <c r="B154" s="5" t="s">
        <v>127</v>
      </c>
      <c r="C154" s="12">
        <v>45067</v>
      </c>
      <c r="D154" s="5" t="s">
        <v>330</v>
      </c>
      <c r="E154" s="6">
        <v>15345</v>
      </c>
      <c r="F154" s="5">
        <v>2023</v>
      </c>
    </row>
    <row r="155" spans="1:6" x14ac:dyDescent="0.25">
      <c r="A155" s="5" t="s">
        <v>478</v>
      </c>
      <c r="B155" s="5" t="s">
        <v>127</v>
      </c>
      <c r="C155" s="12">
        <v>45042</v>
      </c>
      <c r="D155" s="5" t="s">
        <v>330</v>
      </c>
      <c r="E155" s="6">
        <v>3471</v>
      </c>
      <c r="F155" s="5">
        <v>2023</v>
      </c>
    </row>
    <row r="156" spans="1:6" x14ac:dyDescent="0.25">
      <c r="A156" s="5" t="s">
        <v>479</v>
      </c>
      <c r="B156" s="5" t="s">
        <v>127</v>
      </c>
      <c r="C156" s="12">
        <v>45074</v>
      </c>
      <c r="D156" s="5" t="s">
        <v>330</v>
      </c>
      <c r="E156" s="6">
        <v>3660</v>
      </c>
      <c r="F156" s="5">
        <v>2023</v>
      </c>
    </row>
    <row r="157" spans="1:6" x14ac:dyDescent="0.25">
      <c r="A157" s="5" t="s">
        <v>480</v>
      </c>
      <c r="B157" s="5" t="s">
        <v>127</v>
      </c>
      <c r="C157" s="12">
        <v>45080</v>
      </c>
      <c r="D157" s="5" t="s">
        <v>330</v>
      </c>
      <c r="E157" s="6">
        <v>2371</v>
      </c>
      <c r="F157" s="5">
        <v>2023</v>
      </c>
    </row>
    <row r="158" spans="1:6" x14ac:dyDescent="0.25">
      <c r="A158" s="5" t="s">
        <v>481</v>
      </c>
      <c r="B158" s="5" t="s">
        <v>127</v>
      </c>
      <c r="C158" s="12">
        <v>45126</v>
      </c>
      <c r="D158" s="5" t="s">
        <v>330</v>
      </c>
      <c r="E158" s="6">
        <v>15305</v>
      </c>
      <c r="F158" s="5">
        <v>2023</v>
      </c>
    </row>
    <row r="159" spans="1:6" x14ac:dyDescent="0.25">
      <c r="A159" s="5" t="s">
        <v>482</v>
      </c>
      <c r="B159" s="5" t="s">
        <v>133</v>
      </c>
      <c r="C159" s="12">
        <v>45566</v>
      </c>
      <c r="D159" s="5" t="s">
        <v>324</v>
      </c>
      <c r="E159" s="6">
        <v>8854</v>
      </c>
      <c r="F159" s="5">
        <v>2024</v>
      </c>
    </row>
    <row r="160" spans="1:6" x14ac:dyDescent="0.25">
      <c r="A160" s="5" t="s">
        <v>483</v>
      </c>
      <c r="B160" s="5" t="s">
        <v>133</v>
      </c>
      <c r="C160" s="12">
        <v>45566</v>
      </c>
      <c r="D160" s="5" t="s">
        <v>324</v>
      </c>
      <c r="E160" s="6">
        <v>5885</v>
      </c>
      <c r="F160" s="5">
        <v>2024</v>
      </c>
    </row>
    <row r="161" spans="1:6" x14ac:dyDescent="0.25">
      <c r="A161" s="5" t="s">
        <v>484</v>
      </c>
      <c r="B161" s="5" t="s">
        <v>133</v>
      </c>
      <c r="C161" s="12">
        <v>45568</v>
      </c>
      <c r="D161" s="5" t="s">
        <v>324</v>
      </c>
      <c r="E161" s="6">
        <v>1796</v>
      </c>
      <c r="F161" s="5">
        <v>2024</v>
      </c>
    </row>
    <row r="162" spans="1:6" x14ac:dyDescent="0.25">
      <c r="A162" s="5" t="s">
        <v>485</v>
      </c>
      <c r="B162" s="5" t="s">
        <v>133</v>
      </c>
      <c r="C162" s="12">
        <v>45568</v>
      </c>
      <c r="D162" s="5" t="s">
        <v>324</v>
      </c>
      <c r="E162" s="6">
        <v>6734</v>
      </c>
      <c r="F162" s="5">
        <v>2024</v>
      </c>
    </row>
    <row r="163" spans="1:6" x14ac:dyDescent="0.25">
      <c r="A163" s="5" t="s">
        <v>486</v>
      </c>
      <c r="B163" s="5" t="s">
        <v>133</v>
      </c>
      <c r="C163" s="12">
        <v>45601</v>
      </c>
      <c r="D163" s="5" t="s">
        <v>12</v>
      </c>
      <c r="E163" s="6">
        <v>3611</v>
      </c>
      <c r="F163" s="5">
        <v>2024</v>
      </c>
    </row>
    <row r="164" spans="1:6" x14ac:dyDescent="0.25">
      <c r="A164" s="5" t="s">
        <v>487</v>
      </c>
      <c r="B164" s="5" t="s">
        <v>133</v>
      </c>
      <c r="C164" s="12">
        <v>45625</v>
      </c>
      <c r="D164" s="5" t="s">
        <v>12</v>
      </c>
      <c r="E164" s="6">
        <v>4424</v>
      </c>
      <c r="F164" s="5">
        <v>2024</v>
      </c>
    </row>
    <row r="165" spans="1:6" x14ac:dyDescent="0.25">
      <c r="A165" s="5" t="s">
        <v>488</v>
      </c>
      <c r="B165" s="5" t="s">
        <v>133</v>
      </c>
      <c r="C165" s="12">
        <v>45588</v>
      </c>
      <c r="D165" s="5" t="s">
        <v>330</v>
      </c>
      <c r="E165" s="6">
        <v>3317</v>
      </c>
      <c r="F165" s="5">
        <v>2024</v>
      </c>
    </row>
    <row r="166" spans="1:6" x14ac:dyDescent="0.25">
      <c r="A166" s="5" t="s">
        <v>489</v>
      </c>
      <c r="B166" s="5" t="s">
        <v>133</v>
      </c>
      <c r="C166" s="12">
        <v>45579</v>
      </c>
      <c r="D166" s="5" t="s">
        <v>330</v>
      </c>
      <c r="E166" s="6">
        <v>6074</v>
      </c>
      <c r="F166" s="5">
        <v>2024</v>
      </c>
    </row>
    <row r="167" spans="1:6" x14ac:dyDescent="0.25">
      <c r="A167" s="5" t="s">
        <v>490</v>
      </c>
      <c r="B167" s="5" t="s">
        <v>133</v>
      </c>
      <c r="C167" s="12">
        <v>45594</v>
      </c>
      <c r="D167" s="5" t="s">
        <v>330</v>
      </c>
      <c r="E167" s="6">
        <v>4528</v>
      </c>
      <c r="F167" s="5">
        <v>2024</v>
      </c>
    </row>
    <row r="168" spans="1:6" x14ac:dyDescent="0.25">
      <c r="A168" s="5" t="s">
        <v>491</v>
      </c>
      <c r="B168" s="5" t="s">
        <v>137</v>
      </c>
      <c r="C168" s="12">
        <v>45388</v>
      </c>
      <c r="D168" s="5" t="s">
        <v>324</v>
      </c>
      <c r="E168" s="6">
        <v>44012</v>
      </c>
      <c r="F168" s="5">
        <v>2024</v>
      </c>
    </row>
    <row r="169" spans="1:6" x14ac:dyDescent="0.25">
      <c r="A169" s="5" t="s">
        <v>492</v>
      </c>
      <c r="B169" s="5" t="s">
        <v>137</v>
      </c>
      <c r="C169" s="12">
        <v>45359</v>
      </c>
      <c r="D169" s="5" t="s">
        <v>324</v>
      </c>
      <c r="E169" s="6">
        <v>11420</v>
      </c>
      <c r="F169" s="5">
        <v>2024</v>
      </c>
    </row>
    <row r="170" spans="1:6" x14ac:dyDescent="0.25">
      <c r="A170" s="5" t="s">
        <v>493</v>
      </c>
      <c r="B170" s="5" t="s">
        <v>137</v>
      </c>
      <c r="C170" s="12">
        <v>45465</v>
      </c>
      <c r="D170" s="5" t="s">
        <v>12</v>
      </c>
      <c r="E170" s="6">
        <v>1884</v>
      </c>
      <c r="F170" s="5">
        <v>2024</v>
      </c>
    </row>
    <row r="171" spans="1:6" x14ac:dyDescent="0.25">
      <c r="A171" s="5" t="s">
        <v>494</v>
      </c>
      <c r="B171" s="5" t="s">
        <v>137</v>
      </c>
      <c r="C171" s="12">
        <v>45457</v>
      </c>
      <c r="D171" s="5" t="s">
        <v>12</v>
      </c>
      <c r="E171" s="6">
        <v>4655</v>
      </c>
      <c r="F171" s="5">
        <v>2024</v>
      </c>
    </row>
    <row r="172" spans="1:6" x14ac:dyDescent="0.25">
      <c r="A172" s="5" t="s">
        <v>495</v>
      </c>
      <c r="B172" s="5" t="s">
        <v>137</v>
      </c>
      <c r="C172" s="12">
        <v>45517</v>
      </c>
      <c r="D172" s="5" t="s">
        <v>12</v>
      </c>
      <c r="E172" s="6">
        <v>12602</v>
      </c>
      <c r="F172" s="5">
        <v>2024</v>
      </c>
    </row>
    <row r="173" spans="1:6" x14ac:dyDescent="0.25">
      <c r="A173" s="5" t="s">
        <v>496</v>
      </c>
      <c r="B173" s="5" t="s">
        <v>137</v>
      </c>
      <c r="C173" s="12">
        <v>45353</v>
      </c>
      <c r="D173" s="5" t="s">
        <v>330</v>
      </c>
      <c r="E173" s="6">
        <v>13950</v>
      </c>
      <c r="F173" s="5">
        <v>2024</v>
      </c>
    </row>
    <row r="174" spans="1:6" x14ac:dyDescent="0.25">
      <c r="A174" s="5" t="s">
        <v>497</v>
      </c>
      <c r="B174" s="5" t="s">
        <v>137</v>
      </c>
      <c r="C174" s="12">
        <v>45390</v>
      </c>
      <c r="D174" s="5" t="s">
        <v>330</v>
      </c>
      <c r="E174" s="6">
        <v>8261</v>
      </c>
      <c r="F174" s="5">
        <v>2024</v>
      </c>
    </row>
    <row r="175" spans="1:6" x14ac:dyDescent="0.25">
      <c r="A175" s="5" t="s">
        <v>498</v>
      </c>
      <c r="B175" s="5" t="s">
        <v>137</v>
      </c>
      <c r="C175" s="12">
        <v>45487</v>
      </c>
      <c r="D175" s="5" t="s">
        <v>330</v>
      </c>
      <c r="E175" s="6">
        <v>5296</v>
      </c>
      <c r="F175" s="5">
        <v>2024</v>
      </c>
    </row>
    <row r="176" spans="1:6" x14ac:dyDescent="0.25">
      <c r="A176" s="5" t="s">
        <v>499</v>
      </c>
      <c r="B176" s="5" t="s">
        <v>137</v>
      </c>
      <c r="C176" s="12">
        <v>45365</v>
      </c>
      <c r="D176" s="5" t="s">
        <v>330</v>
      </c>
      <c r="E176" s="6">
        <v>5652</v>
      </c>
      <c r="F176" s="5">
        <v>2024</v>
      </c>
    </row>
    <row r="177" spans="1:6" x14ac:dyDescent="0.25">
      <c r="A177" s="5" t="s">
        <v>500</v>
      </c>
      <c r="B177" s="5" t="s">
        <v>141</v>
      </c>
      <c r="C177" s="12">
        <v>45362</v>
      </c>
      <c r="D177" s="5" t="s">
        <v>324</v>
      </c>
      <c r="E177" s="6">
        <v>14510</v>
      </c>
      <c r="F177" s="5">
        <v>2024</v>
      </c>
    </row>
    <row r="178" spans="1:6" x14ac:dyDescent="0.25">
      <c r="A178" s="5" t="s">
        <v>501</v>
      </c>
      <c r="B178" s="5" t="s">
        <v>141</v>
      </c>
      <c r="C178" s="12">
        <v>45354</v>
      </c>
      <c r="D178" s="5" t="s">
        <v>324</v>
      </c>
      <c r="E178" s="6">
        <v>5898</v>
      </c>
      <c r="F178" s="5">
        <v>2024</v>
      </c>
    </row>
    <row r="179" spans="1:6" x14ac:dyDescent="0.25">
      <c r="A179" s="5" t="s">
        <v>502</v>
      </c>
      <c r="B179" s="5" t="s">
        <v>141</v>
      </c>
      <c r="C179" s="12">
        <v>45380</v>
      </c>
      <c r="D179" s="5" t="s">
        <v>12</v>
      </c>
      <c r="E179" s="6">
        <v>7047</v>
      </c>
      <c r="F179" s="5">
        <v>2024</v>
      </c>
    </row>
    <row r="180" spans="1:6" x14ac:dyDescent="0.25">
      <c r="A180" s="5" t="s">
        <v>503</v>
      </c>
      <c r="B180" s="5" t="s">
        <v>141</v>
      </c>
      <c r="C180" s="12">
        <v>45351</v>
      </c>
      <c r="D180" s="5" t="s">
        <v>330</v>
      </c>
      <c r="E180" s="6">
        <v>6561</v>
      </c>
      <c r="F180" s="5">
        <v>2024</v>
      </c>
    </row>
    <row r="181" spans="1:6" x14ac:dyDescent="0.25">
      <c r="A181" s="5" t="s">
        <v>504</v>
      </c>
      <c r="B181" s="5" t="s">
        <v>141</v>
      </c>
      <c r="C181" s="12">
        <v>45373</v>
      </c>
      <c r="D181" s="5" t="s">
        <v>330</v>
      </c>
      <c r="E181" s="6">
        <v>1726</v>
      </c>
      <c r="F181" s="5">
        <v>2024</v>
      </c>
    </row>
    <row r="182" spans="1:6" x14ac:dyDescent="0.25">
      <c r="A182" s="5" t="s">
        <v>505</v>
      </c>
      <c r="B182" s="5" t="s">
        <v>141</v>
      </c>
      <c r="C182" s="12">
        <v>45358</v>
      </c>
      <c r="D182" s="5" t="s">
        <v>330</v>
      </c>
      <c r="E182" s="6">
        <v>3921</v>
      </c>
      <c r="F182" s="5">
        <v>2024</v>
      </c>
    </row>
    <row r="183" spans="1:6" x14ac:dyDescent="0.25">
      <c r="A183" s="5" t="s">
        <v>506</v>
      </c>
      <c r="B183" s="5" t="s">
        <v>144</v>
      </c>
      <c r="C183" s="12">
        <v>45553</v>
      </c>
      <c r="D183" s="5" t="s">
        <v>324</v>
      </c>
      <c r="E183" s="6">
        <v>82223</v>
      </c>
      <c r="F183" s="5">
        <v>2024</v>
      </c>
    </row>
    <row r="184" spans="1:6" x14ac:dyDescent="0.25">
      <c r="A184" s="5" t="s">
        <v>507</v>
      </c>
      <c r="B184" s="5" t="s">
        <v>144</v>
      </c>
      <c r="C184" s="12">
        <v>45607</v>
      </c>
      <c r="D184" s="5" t="s">
        <v>324</v>
      </c>
      <c r="E184" s="6">
        <v>21287</v>
      </c>
      <c r="F184" s="5">
        <v>2024</v>
      </c>
    </row>
    <row r="185" spans="1:6" x14ac:dyDescent="0.25">
      <c r="A185" s="5" t="s">
        <v>508</v>
      </c>
      <c r="B185" s="5" t="s">
        <v>144</v>
      </c>
      <c r="C185" s="12">
        <v>45722</v>
      </c>
      <c r="D185" s="5" t="s">
        <v>12</v>
      </c>
      <c r="E185" s="6">
        <v>42229</v>
      </c>
      <c r="F185" s="5">
        <v>2024</v>
      </c>
    </row>
    <row r="186" spans="1:6" x14ac:dyDescent="0.25">
      <c r="A186" s="5" t="s">
        <v>509</v>
      </c>
      <c r="B186" s="5" t="s">
        <v>144</v>
      </c>
      <c r="C186" s="12">
        <v>45584</v>
      </c>
      <c r="D186" s="5" t="s">
        <v>330</v>
      </c>
      <c r="E186" s="6">
        <v>11845</v>
      </c>
      <c r="F186" s="5">
        <v>2024</v>
      </c>
    </row>
    <row r="187" spans="1:6" x14ac:dyDescent="0.25">
      <c r="A187" s="5" t="s">
        <v>510</v>
      </c>
      <c r="B187" s="5" t="s">
        <v>144</v>
      </c>
      <c r="C187" s="12">
        <v>45541</v>
      </c>
      <c r="D187" s="5" t="s">
        <v>330</v>
      </c>
      <c r="E187" s="6">
        <v>25099</v>
      </c>
      <c r="F187" s="5">
        <v>2024</v>
      </c>
    </row>
    <row r="188" spans="1:6" x14ac:dyDescent="0.25">
      <c r="A188" s="5" t="s">
        <v>511</v>
      </c>
      <c r="B188" s="5" t="s">
        <v>144</v>
      </c>
      <c r="C188" s="12">
        <v>45690</v>
      </c>
      <c r="D188" s="5" t="s">
        <v>330</v>
      </c>
      <c r="E188" s="6">
        <v>30941</v>
      </c>
      <c r="F188" s="5">
        <v>2024</v>
      </c>
    </row>
    <row r="189" spans="1:6" x14ac:dyDescent="0.25">
      <c r="A189" s="5" t="s">
        <v>512</v>
      </c>
      <c r="B189" s="5" t="s">
        <v>146</v>
      </c>
      <c r="C189" s="12">
        <v>45609</v>
      </c>
      <c r="D189" s="5" t="s">
        <v>324</v>
      </c>
      <c r="E189" s="6">
        <v>79134</v>
      </c>
      <c r="F189" s="5">
        <v>2024</v>
      </c>
    </row>
    <row r="190" spans="1:6" x14ac:dyDescent="0.25">
      <c r="A190" s="5" t="s">
        <v>513</v>
      </c>
      <c r="B190" s="5" t="s">
        <v>146</v>
      </c>
      <c r="C190" s="12">
        <v>45570</v>
      </c>
      <c r="D190" s="5" t="s">
        <v>324</v>
      </c>
      <c r="E190" s="6">
        <v>39420</v>
      </c>
      <c r="F190" s="5">
        <v>2024</v>
      </c>
    </row>
    <row r="191" spans="1:6" x14ac:dyDescent="0.25">
      <c r="A191" s="5" t="s">
        <v>514</v>
      </c>
      <c r="B191" s="5" t="s">
        <v>146</v>
      </c>
      <c r="C191" s="12">
        <v>45583</v>
      </c>
      <c r="D191" s="5" t="s">
        <v>324</v>
      </c>
      <c r="E191" s="6">
        <v>25575</v>
      </c>
      <c r="F191" s="5">
        <v>2024</v>
      </c>
    </row>
    <row r="192" spans="1:6" x14ac:dyDescent="0.25">
      <c r="A192" s="5" t="s">
        <v>515</v>
      </c>
      <c r="B192" s="5" t="s">
        <v>146</v>
      </c>
      <c r="C192" s="12">
        <v>45564</v>
      </c>
      <c r="D192" s="5" t="s">
        <v>324</v>
      </c>
      <c r="E192" s="6">
        <v>11526</v>
      </c>
      <c r="F192" s="5">
        <v>2024</v>
      </c>
    </row>
    <row r="193" spans="1:6" x14ac:dyDescent="0.25">
      <c r="A193" s="5" t="s">
        <v>516</v>
      </c>
      <c r="B193" s="5" t="s">
        <v>146</v>
      </c>
      <c r="C193" s="12">
        <v>45685</v>
      </c>
      <c r="D193" s="5" t="s">
        <v>12</v>
      </c>
      <c r="E193" s="6">
        <v>63502</v>
      </c>
      <c r="F193" s="5">
        <v>2024</v>
      </c>
    </row>
    <row r="194" spans="1:6" x14ac:dyDescent="0.25">
      <c r="A194" s="5" t="s">
        <v>517</v>
      </c>
      <c r="B194" s="5" t="s">
        <v>146</v>
      </c>
      <c r="C194" s="12">
        <v>45629</v>
      </c>
      <c r="D194" s="5" t="s">
        <v>330</v>
      </c>
      <c r="E194" s="6">
        <v>7165</v>
      </c>
      <c r="F194" s="5">
        <v>2024</v>
      </c>
    </row>
    <row r="195" spans="1:6" x14ac:dyDescent="0.25">
      <c r="A195" s="5" t="s">
        <v>518</v>
      </c>
      <c r="B195" s="5" t="s">
        <v>146</v>
      </c>
      <c r="C195" s="12">
        <v>45642</v>
      </c>
      <c r="D195" s="5" t="s">
        <v>330</v>
      </c>
      <c r="E195" s="6">
        <v>39349</v>
      </c>
      <c r="F195" s="5">
        <v>2024</v>
      </c>
    </row>
    <row r="196" spans="1:6" x14ac:dyDescent="0.25">
      <c r="A196" s="5" t="s">
        <v>519</v>
      </c>
      <c r="B196" s="5" t="s">
        <v>146</v>
      </c>
      <c r="C196" s="12">
        <v>45705</v>
      </c>
      <c r="D196" s="5" t="s">
        <v>330</v>
      </c>
      <c r="E196" s="6">
        <v>16872</v>
      </c>
      <c r="F196" s="5">
        <v>2024</v>
      </c>
    </row>
    <row r="197" spans="1:6" x14ac:dyDescent="0.25">
      <c r="A197" s="5" t="s">
        <v>520</v>
      </c>
      <c r="B197" s="5" t="s">
        <v>146</v>
      </c>
      <c r="C197" s="12">
        <v>45664</v>
      </c>
      <c r="D197" s="5" t="s">
        <v>330</v>
      </c>
      <c r="E197" s="6">
        <v>38697</v>
      </c>
      <c r="F197" s="5">
        <v>2024</v>
      </c>
    </row>
    <row r="198" spans="1:6" x14ac:dyDescent="0.25">
      <c r="A198" s="5" t="s">
        <v>521</v>
      </c>
      <c r="B198" s="5" t="s">
        <v>149</v>
      </c>
      <c r="C198" s="12">
        <v>45481</v>
      </c>
      <c r="D198" s="5" t="s">
        <v>324</v>
      </c>
      <c r="E198" s="6">
        <v>10018</v>
      </c>
      <c r="F198" s="5">
        <v>2024</v>
      </c>
    </row>
    <row r="199" spans="1:6" x14ac:dyDescent="0.25">
      <c r="A199" s="5" t="s">
        <v>522</v>
      </c>
      <c r="B199" s="5" t="s">
        <v>149</v>
      </c>
      <c r="C199" s="12">
        <v>45471</v>
      </c>
      <c r="D199" s="5" t="s">
        <v>324</v>
      </c>
      <c r="E199" s="6">
        <v>3954</v>
      </c>
      <c r="F199" s="5">
        <v>2024</v>
      </c>
    </row>
    <row r="200" spans="1:6" x14ac:dyDescent="0.25">
      <c r="A200" s="5" t="s">
        <v>523</v>
      </c>
      <c r="B200" s="5" t="s">
        <v>149</v>
      </c>
      <c r="C200" s="12">
        <v>45477</v>
      </c>
      <c r="D200" s="5" t="s">
        <v>324</v>
      </c>
      <c r="E200" s="6">
        <v>5066</v>
      </c>
      <c r="F200" s="5">
        <v>2024</v>
      </c>
    </row>
    <row r="201" spans="1:6" x14ac:dyDescent="0.25">
      <c r="A201" s="5" t="s">
        <v>524</v>
      </c>
      <c r="B201" s="5" t="s">
        <v>149</v>
      </c>
      <c r="C201" s="12">
        <v>45526</v>
      </c>
      <c r="D201" s="5" t="s">
        <v>12</v>
      </c>
      <c r="E201" s="6">
        <v>1286</v>
      </c>
      <c r="F201" s="5">
        <v>2024</v>
      </c>
    </row>
    <row r="202" spans="1:6" x14ac:dyDescent="0.25">
      <c r="A202" s="5" t="s">
        <v>525</v>
      </c>
      <c r="B202" s="5" t="s">
        <v>149</v>
      </c>
      <c r="C202" s="12">
        <v>45509</v>
      </c>
      <c r="D202" s="5" t="s">
        <v>12</v>
      </c>
      <c r="E202" s="6">
        <v>5288</v>
      </c>
      <c r="F202" s="5">
        <v>2024</v>
      </c>
    </row>
    <row r="203" spans="1:6" x14ac:dyDescent="0.25">
      <c r="A203" s="5" t="s">
        <v>526</v>
      </c>
      <c r="B203" s="5" t="s">
        <v>149</v>
      </c>
      <c r="C203" s="12">
        <v>45486</v>
      </c>
      <c r="D203" s="5" t="s">
        <v>330</v>
      </c>
      <c r="E203" s="6">
        <v>5145</v>
      </c>
      <c r="F203" s="5">
        <v>2024</v>
      </c>
    </row>
    <row r="204" spans="1:6" x14ac:dyDescent="0.25">
      <c r="A204" s="5" t="s">
        <v>527</v>
      </c>
      <c r="B204" s="5" t="s">
        <v>149</v>
      </c>
      <c r="C204" s="12">
        <v>45506</v>
      </c>
      <c r="D204" s="5" t="s">
        <v>330</v>
      </c>
      <c r="E204" s="6">
        <v>3018</v>
      </c>
      <c r="F204" s="5">
        <v>2024</v>
      </c>
    </row>
    <row r="205" spans="1:6" x14ac:dyDescent="0.25">
      <c r="A205" s="5" t="s">
        <v>528</v>
      </c>
      <c r="B205" s="5" t="s">
        <v>149</v>
      </c>
      <c r="C205" s="12">
        <v>45474</v>
      </c>
      <c r="D205" s="5" t="s">
        <v>330</v>
      </c>
      <c r="E205" s="6">
        <v>3226</v>
      </c>
      <c r="F205" s="5">
        <v>2024</v>
      </c>
    </row>
    <row r="206" spans="1:6" x14ac:dyDescent="0.25">
      <c r="A206" s="5" t="s">
        <v>529</v>
      </c>
      <c r="B206" s="5" t="s">
        <v>152</v>
      </c>
      <c r="C206" s="12">
        <v>45371</v>
      </c>
      <c r="D206" s="5" t="s">
        <v>324</v>
      </c>
      <c r="E206" s="6">
        <v>154366</v>
      </c>
      <c r="F206" s="5">
        <v>2024</v>
      </c>
    </row>
    <row r="207" spans="1:6" x14ac:dyDescent="0.25">
      <c r="A207" s="5" t="s">
        <v>530</v>
      </c>
      <c r="B207" s="5" t="s">
        <v>152</v>
      </c>
      <c r="C207" s="12">
        <v>45419</v>
      </c>
      <c r="D207" s="5" t="s">
        <v>324</v>
      </c>
      <c r="E207" s="6">
        <v>29734</v>
      </c>
      <c r="F207" s="5">
        <v>2024</v>
      </c>
    </row>
    <row r="208" spans="1:6" x14ac:dyDescent="0.25">
      <c r="A208" s="5" t="s">
        <v>531</v>
      </c>
      <c r="B208" s="5" t="s">
        <v>152</v>
      </c>
      <c r="C208" s="12">
        <v>45553</v>
      </c>
      <c r="D208" s="5" t="s">
        <v>12</v>
      </c>
      <c r="E208" s="6">
        <v>47392</v>
      </c>
      <c r="F208" s="5">
        <v>2024</v>
      </c>
    </row>
    <row r="209" spans="1:6" x14ac:dyDescent="0.25">
      <c r="A209" s="5" t="s">
        <v>532</v>
      </c>
      <c r="B209" s="5" t="s">
        <v>152</v>
      </c>
      <c r="C209" s="12">
        <v>45507</v>
      </c>
      <c r="D209" s="5" t="s">
        <v>12</v>
      </c>
      <c r="E209" s="6">
        <v>27715</v>
      </c>
      <c r="F209" s="5">
        <v>2024</v>
      </c>
    </row>
    <row r="210" spans="1:6" x14ac:dyDescent="0.25">
      <c r="A210" s="5" t="s">
        <v>533</v>
      </c>
      <c r="B210" s="5" t="s">
        <v>152</v>
      </c>
      <c r="C210" s="12">
        <v>45428</v>
      </c>
      <c r="D210" s="5" t="s">
        <v>330</v>
      </c>
      <c r="E210" s="6">
        <v>39408</v>
      </c>
      <c r="F210" s="5">
        <v>2024</v>
      </c>
    </row>
    <row r="211" spans="1:6" x14ac:dyDescent="0.25">
      <c r="A211" s="5" t="s">
        <v>534</v>
      </c>
      <c r="B211" s="5" t="s">
        <v>152</v>
      </c>
      <c r="C211" s="12">
        <v>45445</v>
      </c>
      <c r="D211" s="5" t="s">
        <v>330</v>
      </c>
      <c r="E211" s="6">
        <v>8842</v>
      </c>
      <c r="F211" s="5">
        <v>2024</v>
      </c>
    </row>
    <row r="212" spans="1:6" x14ac:dyDescent="0.25">
      <c r="A212" s="5" t="s">
        <v>535</v>
      </c>
      <c r="B212" s="5" t="s">
        <v>152</v>
      </c>
      <c r="C212" s="12">
        <v>45528</v>
      </c>
      <c r="D212" s="5" t="s">
        <v>330</v>
      </c>
      <c r="E212" s="6">
        <v>44186</v>
      </c>
      <c r="F212" s="5">
        <v>2024</v>
      </c>
    </row>
    <row r="213" spans="1:6" x14ac:dyDescent="0.25">
      <c r="A213" s="5" t="s">
        <v>536</v>
      </c>
      <c r="B213" s="5" t="s">
        <v>152</v>
      </c>
      <c r="C213" s="12">
        <v>45401</v>
      </c>
      <c r="D213" s="5" t="s">
        <v>330</v>
      </c>
      <c r="E213" s="6">
        <v>18420</v>
      </c>
      <c r="F213" s="5">
        <v>2024</v>
      </c>
    </row>
    <row r="214" spans="1:6" x14ac:dyDescent="0.25">
      <c r="A214" s="5" t="s">
        <v>537</v>
      </c>
      <c r="B214" s="5" t="s">
        <v>152</v>
      </c>
      <c r="C214" s="12">
        <v>45423</v>
      </c>
      <c r="D214" s="5" t="s">
        <v>330</v>
      </c>
      <c r="E214" s="6">
        <v>9882</v>
      </c>
      <c r="F214" s="5">
        <v>2024</v>
      </c>
    </row>
    <row r="215" spans="1:6" x14ac:dyDescent="0.25">
      <c r="A215" s="5" t="s">
        <v>538</v>
      </c>
      <c r="B215" s="5" t="s">
        <v>155</v>
      </c>
      <c r="C215" s="12">
        <v>45481</v>
      </c>
      <c r="D215" s="5" t="s">
        <v>324</v>
      </c>
      <c r="E215" s="6">
        <v>1297</v>
      </c>
      <c r="F215" s="5">
        <v>2024</v>
      </c>
    </row>
    <row r="216" spans="1:6" x14ac:dyDescent="0.25">
      <c r="A216" s="5" t="s">
        <v>539</v>
      </c>
      <c r="B216" s="5" t="s">
        <v>155</v>
      </c>
      <c r="C216" s="12">
        <v>45483</v>
      </c>
      <c r="D216" s="5" t="s">
        <v>324</v>
      </c>
      <c r="E216" s="6">
        <v>5209</v>
      </c>
      <c r="F216" s="5">
        <v>2024</v>
      </c>
    </row>
    <row r="217" spans="1:6" x14ac:dyDescent="0.25">
      <c r="A217" s="5" t="s">
        <v>540</v>
      </c>
      <c r="B217" s="5" t="s">
        <v>155</v>
      </c>
      <c r="C217" s="12">
        <v>45489</v>
      </c>
      <c r="D217" s="5" t="s">
        <v>324</v>
      </c>
      <c r="E217" s="6">
        <v>3370</v>
      </c>
      <c r="F217" s="5">
        <v>2024</v>
      </c>
    </row>
    <row r="218" spans="1:6" x14ac:dyDescent="0.25">
      <c r="A218" s="5" t="s">
        <v>541</v>
      </c>
      <c r="B218" s="5" t="s">
        <v>155</v>
      </c>
      <c r="C218" s="12">
        <v>45465</v>
      </c>
      <c r="D218" s="5" t="s">
        <v>324</v>
      </c>
      <c r="E218" s="6">
        <v>8048</v>
      </c>
      <c r="F218" s="5">
        <v>2024</v>
      </c>
    </row>
    <row r="219" spans="1:6" x14ac:dyDescent="0.25">
      <c r="A219" s="5" t="s">
        <v>542</v>
      </c>
      <c r="B219" s="5" t="s">
        <v>155</v>
      </c>
      <c r="C219" s="12">
        <v>45492</v>
      </c>
      <c r="D219" s="5" t="s">
        <v>12</v>
      </c>
      <c r="E219" s="6">
        <v>6189</v>
      </c>
      <c r="F219" s="5">
        <v>2024</v>
      </c>
    </row>
    <row r="220" spans="1:6" x14ac:dyDescent="0.25">
      <c r="A220" s="5" t="s">
        <v>543</v>
      </c>
      <c r="B220" s="5" t="s">
        <v>155</v>
      </c>
      <c r="C220" s="12">
        <v>45469</v>
      </c>
      <c r="D220" s="5" t="s">
        <v>330</v>
      </c>
      <c r="E220" s="6">
        <v>3174</v>
      </c>
      <c r="F220" s="5">
        <v>2024</v>
      </c>
    </row>
    <row r="221" spans="1:6" x14ac:dyDescent="0.25">
      <c r="A221" s="5" t="s">
        <v>544</v>
      </c>
      <c r="B221" s="5" t="s">
        <v>155</v>
      </c>
      <c r="C221" s="12">
        <v>45493</v>
      </c>
      <c r="D221" s="5" t="s">
        <v>330</v>
      </c>
      <c r="E221" s="6">
        <v>2525</v>
      </c>
      <c r="F221" s="5">
        <v>2024</v>
      </c>
    </row>
    <row r="222" spans="1:6" x14ac:dyDescent="0.25">
      <c r="A222" s="5" t="s">
        <v>545</v>
      </c>
      <c r="B222" s="5" t="s">
        <v>155</v>
      </c>
      <c r="C222" s="12">
        <v>45487</v>
      </c>
      <c r="D222" s="5" t="s">
        <v>330</v>
      </c>
      <c r="E222" s="6">
        <v>1835</v>
      </c>
      <c r="F222" s="5">
        <v>2024</v>
      </c>
    </row>
    <row r="223" spans="1:6" x14ac:dyDescent="0.25">
      <c r="A223" s="5" t="s">
        <v>546</v>
      </c>
      <c r="B223" s="5" t="s">
        <v>155</v>
      </c>
      <c r="C223" s="12">
        <v>45491</v>
      </c>
      <c r="D223" s="5" t="s">
        <v>330</v>
      </c>
      <c r="E223" s="6">
        <v>1088</v>
      </c>
      <c r="F223" s="5">
        <v>2024</v>
      </c>
    </row>
    <row r="224" spans="1:6" x14ac:dyDescent="0.25">
      <c r="A224" s="5" t="s">
        <v>547</v>
      </c>
      <c r="B224" s="5" t="s">
        <v>155</v>
      </c>
      <c r="C224" s="12">
        <v>45465</v>
      </c>
      <c r="D224" s="5" t="s">
        <v>330</v>
      </c>
      <c r="E224" s="6">
        <v>2100</v>
      </c>
      <c r="F224" s="5">
        <v>2024</v>
      </c>
    </row>
    <row r="225" spans="1:6" x14ac:dyDescent="0.25">
      <c r="A225" s="5" t="s">
        <v>548</v>
      </c>
      <c r="B225" s="5" t="s">
        <v>158</v>
      </c>
      <c r="C225" s="12">
        <v>45580</v>
      </c>
      <c r="D225" s="5" t="s">
        <v>324</v>
      </c>
      <c r="E225" s="6">
        <v>8517</v>
      </c>
      <c r="F225" s="5">
        <v>2024</v>
      </c>
    </row>
    <row r="226" spans="1:6" x14ac:dyDescent="0.25">
      <c r="A226" s="5" t="s">
        <v>549</v>
      </c>
      <c r="B226" s="5" t="s">
        <v>158</v>
      </c>
      <c r="C226" s="12">
        <v>45588</v>
      </c>
      <c r="D226" s="5" t="s">
        <v>324</v>
      </c>
      <c r="E226" s="6">
        <v>48367</v>
      </c>
      <c r="F226" s="5">
        <v>2024</v>
      </c>
    </row>
    <row r="227" spans="1:6" x14ac:dyDescent="0.25">
      <c r="A227" s="5" t="s">
        <v>550</v>
      </c>
      <c r="B227" s="5" t="s">
        <v>158</v>
      </c>
      <c r="C227" s="12">
        <v>45565</v>
      </c>
      <c r="D227" s="5" t="s">
        <v>324</v>
      </c>
      <c r="E227" s="6">
        <v>30751</v>
      </c>
      <c r="F227" s="5">
        <v>2024</v>
      </c>
    </row>
    <row r="228" spans="1:6" x14ac:dyDescent="0.25">
      <c r="A228" s="5" t="s">
        <v>551</v>
      </c>
      <c r="B228" s="5" t="s">
        <v>158</v>
      </c>
      <c r="C228" s="12">
        <v>45666</v>
      </c>
      <c r="D228" s="5" t="s">
        <v>12</v>
      </c>
      <c r="E228" s="6">
        <v>5923</v>
      </c>
      <c r="F228" s="5">
        <v>2024</v>
      </c>
    </row>
    <row r="229" spans="1:6" x14ac:dyDescent="0.25">
      <c r="A229" s="5" t="s">
        <v>552</v>
      </c>
      <c r="B229" s="5" t="s">
        <v>158</v>
      </c>
      <c r="C229" s="12">
        <v>45598</v>
      </c>
      <c r="D229" s="5" t="s">
        <v>12</v>
      </c>
      <c r="E229" s="6">
        <v>19299</v>
      </c>
      <c r="F229" s="5">
        <v>2024</v>
      </c>
    </row>
    <row r="230" spans="1:6" x14ac:dyDescent="0.25">
      <c r="A230" s="5" t="s">
        <v>553</v>
      </c>
      <c r="B230" s="5" t="s">
        <v>158</v>
      </c>
      <c r="C230" s="12">
        <v>45596</v>
      </c>
      <c r="D230" s="5" t="s">
        <v>12</v>
      </c>
      <c r="E230" s="6">
        <v>10530</v>
      </c>
      <c r="F230" s="5">
        <v>2024</v>
      </c>
    </row>
    <row r="231" spans="1:6" x14ac:dyDescent="0.25">
      <c r="A231" s="5" t="s">
        <v>554</v>
      </c>
      <c r="B231" s="5" t="s">
        <v>158</v>
      </c>
      <c r="C231" s="12">
        <v>45608</v>
      </c>
      <c r="D231" s="5" t="s">
        <v>330</v>
      </c>
      <c r="E231" s="6">
        <v>16111</v>
      </c>
      <c r="F231" s="5">
        <v>2024</v>
      </c>
    </row>
    <row r="232" spans="1:6" x14ac:dyDescent="0.25">
      <c r="A232" s="5" t="s">
        <v>555</v>
      </c>
      <c r="B232" s="5" t="s">
        <v>158</v>
      </c>
      <c r="C232" s="12">
        <v>45590</v>
      </c>
      <c r="D232" s="5" t="s">
        <v>330</v>
      </c>
      <c r="E232" s="6">
        <v>26664</v>
      </c>
      <c r="F232" s="5">
        <v>2024</v>
      </c>
    </row>
    <row r="233" spans="1:6" x14ac:dyDescent="0.25">
      <c r="A233" s="5" t="s">
        <v>556</v>
      </c>
      <c r="B233" s="5" t="s">
        <v>158</v>
      </c>
      <c r="C233" s="12">
        <v>45662</v>
      </c>
      <c r="D233" s="5" t="s">
        <v>330</v>
      </c>
      <c r="E233" s="6">
        <v>14700</v>
      </c>
      <c r="F233" s="5">
        <v>2024</v>
      </c>
    </row>
    <row r="234" spans="1:6" x14ac:dyDescent="0.25">
      <c r="A234" s="5" t="s">
        <v>557</v>
      </c>
      <c r="B234" s="5" t="s">
        <v>161</v>
      </c>
      <c r="C234" s="12">
        <v>45357</v>
      </c>
      <c r="D234" s="5" t="s">
        <v>324</v>
      </c>
      <c r="E234" s="6">
        <v>19401</v>
      </c>
      <c r="F234" s="5">
        <v>2024</v>
      </c>
    </row>
    <row r="235" spans="1:6" x14ac:dyDescent="0.25">
      <c r="A235" s="5" t="s">
        <v>558</v>
      </c>
      <c r="B235" s="5" t="s">
        <v>161</v>
      </c>
      <c r="C235" s="12">
        <v>45409</v>
      </c>
      <c r="D235" s="5" t="s">
        <v>324</v>
      </c>
      <c r="E235" s="6">
        <v>64488</v>
      </c>
      <c r="F235" s="5">
        <v>2024</v>
      </c>
    </row>
    <row r="236" spans="1:6" x14ac:dyDescent="0.25">
      <c r="A236" s="5" t="s">
        <v>559</v>
      </c>
      <c r="B236" s="5" t="s">
        <v>161</v>
      </c>
      <c r="C236" s="12">
        <v>45378</v>
      </c>
      <c r="D236" s="5" t="s">
        <v>324</v>
      </c>
      <c r="E236" s="6">
        <v>39069</v>
      </c>
      <c r="F236" s="5">
        <v>2024</v>
      </c>
    </row>
    <row r="237" spans="1:6" x14ac:dyDescent="0.25">
      <c r="A237" s="5" t="s">
        <v>560</v>
      </c>
      <c r="B237" s="5" t="s">
        <v>161</v>
      </c>
      <c r="C237" s="12">
        <v>45460</v>
      </c>
      <c r="D237" s="5" t="s">
        <v>12</v>
      </c>
      <c r="E237" s="6">
        <v>26879</v>
      </c>
      <c r="F237" s="5">
        <v>2024</v>
      </c>
    </row>
    <row r="238" spans="1:6" x14ac:dyDescent="0.25">
      <c r="A238" s="5" t="s">
        <v>561</v>
      </c>
      <c r="B238" s="5" t="s">
        <v>161</v>
      </c>
      <c r="C238" s="12">
        <v>45394</v>
      </c>
      <c r="D238" s="5" t="s">
        <v>12</v>
      </c>
      <c r="E238" s="6">
        <v>15580</v>
      </c>
      <c r="F238" s="5">
        <v>2024</v>
      </c>
    </row>
    <row r="239" spans="1:6" x14ac:dyDescent="0.25">
      <c r="A239" s="5" t="s">
        <v>562</v>
      </c>
      <c r="B239" s="5" t="s">
        <v>161</v>
      </c>
      <c r="C239" s="12">
        <v>45437</v>
      </c>
      <c r="D239" s="5" t="s">
        <v>330</v>
      </c>
      <c r="E239" s="6">
        <v>24880</v>
      </c>
      <c r="F239" s="5">
        <v>2024</v>
      </c>
    </row>
    <row r="240" spans="1:6" x14ac:dyDescent="0.25">
      <c r="A240" s="5" t="s">
        <v>563</v>
      </c>
      <c r="B240" s="5" t="s">
        <v>161</v>
      </c>
      <c r="C240" s="12">
        <v>45378</v>
      </c>
      <c r="D240" s="5" t="s">
        <v>330</v>
      </c>
      <c r="E240" s="6">
        <v>40256</v>
      </c>
      <c r="F240" s="5">
        <v>2024</v>
      </c>
    </row>
    <row r="241" spans="1:6" x14ac:dyDescent="0.25">
      <c r="A241" s="5" t="s">
        <v>564</v>
      </c>
      <c r="B241" s="5" t="s">
        <v>161</v>
      </c>
      <c r="C241" s="12">
        <v>45368</v>
      </c>
      <c r="D241" s="5" t="s">
        <v>330</v>
      </c>
      <c r="E241" s="6">
        <v>8412</v>
      </c>
      <c r="F241" s="5">
        <v>2024</v>
      </c>
    </row>
    <row r="242" spans="1:6" x14ac:dyDescent="0.25">
      <c r="A242" s="5" t="s">
        <v>565</v>
      </c>
      <c r="B242" s="5" t="s">
        <v>164</v>
      </c>
      <c r="C242" s="12">
        <v>45603</v>
      </c>
      <c r="D242" s="5" t="s">
        <v>324</v>
      </c>
      <c r="E242" s="6">
        <v>5155</v>
      </c>
      <c r="F242" s="5">
        <v>2024</v>
      </c>
    </row>
    <row r="243" spans="1:6" x14ac:dyDescent="0.25">
      <c r="A243" s="5" t="s">
        <v>566</v>
      </c>
      <c r="B243" s="5" t="s">
        <v>164</v>
      </c>
      <c r="C243" s="12">
        <v>45586</v>
      </c>
      <c r="D243" s="5" t="s">
        <v>324</v>
      </c>
      <c r="E243" s="6">
        <v>34388</v>
      </c>
      <c r="F243" s="5">
        <v>2024</v>
      </c>
    </row>
    <row r="244" spans="1:6" x14ac:dyDescent="0.25">
      <c r="A244" s="5" t="s">
        <v>567</v>
      </c>
      <c r="B244" s="5" t="s">
        <v>164</v>
      </c>
      <c r="C244" s="12">
        <v>45586</v>
      </c>
      <c r="D244" s="5" t="s">
        <v>324</v>
      </c>
      <c r="E244" s="6">
        <v>12981</v>
      </c>
      <c r="F244" s="5">
        <v>2024</v>
      </c>
    </row>
    <row r="245" spans="1:6" x14ac:dyDescent="0.25">
      <c r="A245" s="5" t="s">
        <v>568</v>
      </c>
      <c r="B245" s="5" t="s">
        <v>164</v>
      </c>
      <c r="C245" s="12">
        <v>45656</v>
      </c>
      <c r="D245" s="5" t="s">
        <v>12</v>
      </c>
      <c r="E245" s="6">
        <v>20259</v>
      </c>
      <c r="F245" s="5">
        <v>2024</v>
      </c>
    </row>
    <row r="246" spans="1:6" x14ac:dyDescent="0.25">
      <c r="A246" s="5" t="s">
        <v>569</v>
      </c>
      <c r="B246" s="5" t="s">
        <v>164</v>
      </c>
      <c r="C246" s="12">
        <v>45597</v>
      </c>
      <c r="D246" s="5" t="s">
        <v>330</v>
      </c>
      <c r="E246" s="6">
        <v>3196</v>
      </c>
      <c r="F246" s="5">
        <v>2024</v>
      </c>
    </row>
    <row r="247" spans="1:6" x14ac:dyDescent="0.25">
      <c r="A247" s="5" t="s">
        <v>570</v>
      </c>
      <c r="B247" s="5" t="s">
        <v>164</v>
      </c>
      <c r="C247" s="12">
        <v>45601</v>
      </c>
      <c r="D247" s="5" t="s">
        <v>330</v>
      </c>
      <c r="E247" s="6">
        <v>8799</v>
      </c>
      <c r="F247" s="5">
        <v>2024</v>
      </c>
    </row>
    <row r="248" spans="1:6" x14ac:dyDescent="0.25">
      <c r="A248" s="5" t="s">
        <v>571</v>
      </c>
      <c r="B248" s="5" t="s">
        <v>164</v>
      </c>
      <c r="C248" s="12">
        <v>45582</v>
      </c>
      <c r="D248" s="5" t="s">
        <v>330</v>
      </c>
      <c r="E248" s="6">
        <v>15510</v>
      </c>
      <c r="F248" s="5">
        <v>2024</v>
      </c>
    </row>
    <row r="249" spans="1:6" x14ac:dyDescent="0.25">
      <c r="A249" s="5" t="s">
        <v>572</v>
      </c>
      <c r="B249" s="5" t="s">
        <v>164</v>
      </c>
      <c r="C249" s="12">
        <v>45610</v>
      </c>
      <c r="D249" s="5" t="s">
        <v>330</v>
      </c>
      <c r="E249" s="6">
        <v>4856</v>
      </c>
      <c r="F249" s="5">
        <v>2024</v>
      </c>
    </row>
    <row r="250" spans="1:6" x14ac:dyDescent="0.25">
      <c r="A250" s="5" t="s">
        <v>573</v>
      </c>
      <c r="B250" s="5" t="s">
        <v>167</v>
      </c>
      <c r="C250" s="12">
        <v>45501</v>
      </c>
      <c r="D250" s="5" t="s">
        <v>324</v>
      </c>
      <c r="E250" s="6">
        <v>25765</v>
      </c>
      <c r="F250" s="5">
        <v>2024</v>
      </c>
    </row>
    <row r="251" spans="1:6" x14ac:dyDescent="0.25">
      <c r="A251" s="5" t="s">
        <v>574</v>
      </c>
      <c r="B251" s="5" t="s">
        <v>167</v>
      </c>
      <c r="C251" s="12">
        <v>45514</v>
      </c>
      <c r="D251" s="5" t="s">
        <v>324</v>
      </c>
      <c r="E251" s="6">
        <v>20303</v>
      </c>
      <c r="F251" s="5">
        <v>2024</v>
      </c>
    </row>
    <row r="252" spans="1:6" x14ac:dyDescent="0.25">
      <c r="A252" s="5" t="s">
        <v>575</v>
      </c>
      <c r="B252" s="5" t="s">
        <v>167</v>
      </c>
      <c r="C252" s="12">
        <v>45512</v>
      </c>
      <c r="D252" s="5" t="s">
        <v>324</v>
      </c>
      <c r="E252" s="6">
        <v>32244</v>
      </c>
      <c r="F252" s="5">
        <v>2024</v>
      </c>
    </row>
    <row r="253" spans="1:6" x14ac:dyDescent="0.25">
      <c r="A253" s="5" t="s">
        <v>576</v>
      </c>
      <c r="B253" s="5" t="s">
        <v>167</v>
      </c>
      <c r="C253" s="12">
        <v>45581</v>
      </c>
      <c r="D253" s="5" t="s">
        <v>12</v>
      </c>
      <c r="E253" s="6">
        <v>11068</v>
      </c>
      <c r="F253" s="5">
        <v>2024</v>
      </c>
    </row>
    <row r="254" spans="1:6" x14ac:dyDescent="0.25">
      <c r="A254" s="5" t="s">
        <v>577</v>
      </c>
      <c r="B254" s="5" t="s">
        <v>167</v>
      </c>
      <c r="C254" s="12">
        <v>45601</v>
      </c>
      <c r="D254" s="5" t="s">
        <v>12</v>
      </c>
      <c r="E254" s="6">
        <v>5349</v>
      </c>
      <c r="F254" s="5">
        <v>2024</v>
      </c>
    </row>
    <row r="255" spans="1:6" x14ac:dyDescent="0.25">
      <c r="A255" s="5" t="s">
        <v>578</v>
      </c>
      <c r="B255" s="5" t="s">
        <v>167</v>
      </c>
      <c r="C255" s="12">
        <v>45606</v>
      </c>
      <c r="D255" s="5" t="s">
        <v>12</v>
      </c>
      <c r="E255" s="6">
        <v>10625</v>
      </c>
      <c r="F255" s="5">
        <v>2024</v>
      </c>
    </row>
    <row r="256" spans="1:6" x14ac:dyDescent="0.25">
      <c r="A256" s="5" t="s">
        <v>579</v>
      </c>
      <c r="B256" s="5" t="s">
        <v>167</v>
      </c>
      <c r="C256" s="12">
        <v>45577</v>
      </c>
      <c r="D256" s="5" t="s">
        <v>330</v>
      </c>
      <c r="E256" s="6">
        <v>19913</v>
      </c>
      <c r="F256" s="5">
        <v>2024</v>
      </c>
    </row>
    <row r="257" spans="1:6" x14ac:dyDescent="0.25">
      <c r="A257" s="5" t="s">
        <v>580</v>
      </c>
      <c r="B257" s="5" t="s">
        <v>167</v>
      </c>
      <c r="C257" s="12">
        <v>45582</v>
      </c>
      <c r="D257" s="5" t="s">
        <v>330</v>
      </c>
      <c r="E257" s="6">
        <v>14529</v>
      </c>
      <c r="F257" s="5">
        <v>2024</v>
      </c>
    </row>
    <row r="258" spans="1:6" x14ac:dyDescent="0.25">
      <c r="A258" s="5" t="s">
        <v>581</v>
      </c>
      <c r="B258" s="5" t="s">
        <v>167</v>
      </c>
      <c r="C258" s="12">
        <v>45569</v>
      </c>
      <c r="D258" s="5" t="s">
        <v>330</v>
      </c>
      <c r="E258" s="6">
        <v>9027</v>
      </c>
      <c r="F258" s="5">
        <v>2024</v>
      </c>
    </row>
    <row r="259" spans="1:6" x14ac:dyDescent="0.25">
      <c r="A259" s="5" t="s">
        <v>582</v>
      </c>
      <c r="B259" s="5" t="s">
        <v>167</v>
      </c>
      <c r="C259" s="12">
        <v>45588</v>
      </c>
      <c r="D259" s="5" t="s">
        <v>330</v>
      </c>
      <c r="E259" s="6">
        <v>3375</v>
      </c>
      <c r="F259" s="5">
        <v>2024</v>
      </c>
    </row>
    <row r="260" spans="1:6" x14ac:dyDescent="0.25">
      <c r="A260" s="5" t="s">
        <v>583</v>
      </c>
      <c r="B260" s="5" t="s">
        <v>172</v>
      </c>
      <c r="C260" s="12">
        <v>45365</v>
      </c>
      <c r="D260" s="5" t="s">
        <v>324</v>
      </c>
      <c r="E260" s="6">
        <v>24731</v>
      </c>
      <c r="F260" s="5">
        <v>2024</v>
      </c>
    </row>
    <row r="261" spans="1:6" x14ac:dyDescent="0.25">
      <c r="A261" s="5" t="s">
        <v>584</v>
      </c>
      <c r="B261" s="5" t="s">
        <v>172</v>
      </c>
      <c r="C261" s="12">
        <v>45391</v>
      </c>
      <c r="D261" s="5" t="s">
        <v>324</v>
      </c>
      <c r="E261" s="6">
        <v>10604</v>
      </c>
      <c r="F261" s="5">
        <v>2024</v>
      </c>
    </row>
    <row r="262" spans="1:6" x14ac:dyDescent="0.25">
      <c r="A262" s="5" t="s">
        <v>585</v>
      </c>
      <c r="B262" s="5" t="s">
        <v>172</v>
      </c>
      <c r="C262" s="12">
        <v>45404</v>
      </c>
      <c r="D262" s="5" t="s">
        <v>12</v>
      </c>
      <c r="E262" s="6">
        <v>12202</v>
      </c>
      <c r="F262" s="5">
        <v>2024</v>
      </c>
    </row>
    <row r="263" spans="1:6" x14ac:dyDescent="0.25">
      <c r="A263" s="5" t="s">
        <v>586</v>
      </c>
      <c r="B263" s="5" t="s">
        <v>172</v>
      </c>
      <c r="C263" s="12">
        <v>45387</v>
      </c>
      <c r="D263" s="5" t="s">
        <v>330</v>
      </c>
      <c r="E263" s="6">
        <v>7966</v>
      </c>
      <c r="F263" s="5">
        <v>2024</v>
      </c>
    </row>
    <row r="264" spans="1:6" x14ac:dyDescent="0.25">
      <c r="A264" s="5" t="s">
        <v>587</v>
      </c>
      <c r="B264" s="5" t="s">
        <v>172</v>
      </c>
      <c r="C264" s="12">
        <v>45404</v>
      </c>
      <c r="D264" s="5" t="s">
        <v>330</v>
      </c>
      <c r="E264" s="6">
        <v>6181</v>
      </c>
      <c r="F264" s="5">
        <v>2024</v>
      </c>
    </row>
    <row r="265" spans="1:6" x14ac:dyDescent="0.25">
      <c r="A265" s="5" t="s">
        <v>588</v>
      </c>
      <c r="B265" s="5" t="s">
        <v>172</v>
      </c>
      <c r="C265" s="12">
        <v>45385</v>
      </c>
      <c r="D265" s="5" t="s">
        <v>330</v>
      </c>
      <c r="E265" s="6">
        <v>2886</v>
      </c>
      <c r="F265" s="5">
        <v>2024</v>
      </c>
    </row>
    <row r="266" spans="1:6" x14ac:dyDescent="0.25">
      <c r="A266" s="5" t="s">
        <v>589</v>
      </c>
      <c r="B266" s="5" t="s">
        <v>172</v>
      </c>
      <c r="C266" s="12">
        <v>45397</v>
      </c>
      <c r="D266" s="5" t="s">
        <v>330</v>
      </c>
      <c r="E266" s="6">
        <v>1252</v>
      </c>
      <c r="F266" s="5">
        <v>2024</v>
      </c>
    </row>
    <row r="267" spans="1:6" x14ac:dyDescent="0.25">
      <c r="A267" s="5" t="s">
        <v>590</v>
      </c>
      <c r="B267" s="5" t="s">
        <v>172</v>
      </c>
      <c r="C267" s="12">
        <v>45397</v>
      </c>
      <c r="D267" s="5" t="s">
        <v>330</v>
      </c>
      <c r="E267" s="6">
        <v>2852</v>
      </c>
      <c r="F267" s="5">
        <v>2024</v>
      </c>
    </row>
    <row r="268" spans="1:6" x14ac:dyDescent="0.25">
      <c r="A268" s="5" t="s">
        <v>591</v>
      </c>
      <c r="B268" s="5" t="s">
        <v>175</v>
      </c>
      <c r="C268" s="12">
        <v>45675</v>
      </c>
      <c r="D268" s="5" t="s">
        <v>324</v>
      </c>
      <c r="E268" s="6">
        <v>30548</v>
      </c>
      <c r="F268" s="5">
        <v>2024</v>
      </c>
    </row>
    <row r="269" spans="1:6" x14ac:dyDescent="0.25">
      <c r="A269" s="5" t="s">
        <v>592</v>
      </c>
      <c r="B269" s="5" t="s">
        <v>175</v>
      </c>
      <c r="C269" s="12">
        <v>45599</v>
      </c>
      <c r="D269" s="5" t="s">
        <v>324</v>
      </c>
      <c r="E269" s="6">
        <v>17280</v>
      </c>
      <c r="F269" s="5">
        <v>2024</v>
      </c>
    </row>
    <row r="270" spans="1:6" x14ac:dyDescent="0.25">
      <c r="A270" s="5" t="s">
        <v>593</v>
      </c>
      <c r="B270" s="5" t="s">
        <v>175</v>
      </c>
      <c r="C270" s="12">
        <v>45606</v>
      </c>
      <c r="D270" s="5" t="s">
        <v>324</v>
      </c>
      <c r="E270" s="6">
        <v>64901</v>
      </c>
      <c r="F270" s="5">
        <v>2024</v>
      </c>
    </row>
    <row r="271" spans="1:6" x14ac:dyDescent="0.25">
      <c r="A271" s="5" t="s">
        <v>594</v>
      </c>
      <c r="B271" s="5" t="s">
        <v>175</v>
      </c>
      <c r="C271" s="12">
        <v>45759</v>
      </c>
      <c r="D271" s="5" t="s">
        <v>12</v>
      </c>
      <c r="E271" s="6">
        <v>4480</v>
      </c>
      <c r="F271" s="5">
        <v>2024</v>
      </c>
    </row>
    <row r="272" spans="1:6" x14ac:dyDescent="0.25">
      <c r="A272" s="5" t="s">
        <v>595</v>
      </c>
      <c r="B272" s="5" t="s">
        <v>175</v>
      </c>
      <c r="C272" s="12">
        <v>45635</v>
      </c>
      <c r="D272" s="5" t="s">
        <v>12</v>
      </c>
      <c r="E272" s="6">
        <v>12974</v>
      </c>
      <c r="F272" s="5">
        <v>2024</v>
      </c>
    </row>
    <row r="273" spans="1:6" x14ac:dyDescent="0.25">
      <c r="A273" s="5" t="s">
        <v>596</v>
      </c>
      <c r="B273" s="5" t="s">
        <v>175</v>
      </c>
      <c r="C273" s="12">
        <v>45804</v>
      </c>
      <c r="D273" s="5" t="s">
        <v>12</v>
      </c>
      <c r="E273" s="6">
        <v>28536</v>
      </c>
      <c r="F273" s="5">
        <v>2024</v>
      </c>
    </row>
    <row r="274" spans="1:6" x14ac:dyDescent="0.25">
      <c r="A274" s="5" t="s">
        <v>597</v>
      </c>
      <c r="B274" s="5" t="s">
        <v>175</v>
      </c>
      <c r="C274" s="12">
        <v>45582</v>
      </c>
      <c r="D274" s="5" t="s">
        <v>330</v>
      </c>
      <c r="E274" s="6">
        <v>22158</v>
      </c>
      <c r="F274" s="5">
        <v>2024</v>
      </c>
    </row>
    <row r="275" spans="1:6" x14ac:dyDescent="0.25">
      <c r="A275" s="5" t="s">
        <v>598</v>
      </c>
      <c r="B275" s="5" t="s">
        <v>175</v>
      </c>
      <c r="C275" s="12">
        <v>45720</v>
      </c>
      <c r="D275" s="5" t="s">
        <v>330</v>
      </c>
      <c r="E275" s="6">
        <v>38971</v>
      </c>
      <c r="F275" s="5">
        <v>2024</v>
      </c>
    </row>
    <row r="276" spans="1:6" x14ac:dyDescent="0.25">
      <c r="A276" s="5" t="s">
        <v>599</v>
      </c>
      <c r="B276" s="5" t="s">
        <v>175</v>
      </c>
      <c r="C276" s="12">
        <v>45597</v>
      </c>
      <c r="D276" s="5" t="s">
        <v>330</v>
      </c>
      <c r="E276" s="6">
        <v>12802</v>
      </c>
      <c r="F276" s="5">
        <v>2024</v>
      </c>
    </row>
    <row r="277" spans="1:6" x14ac:dyDescent="0.25">
      <c r="A277" s="5" t="s">
        <v>600</v>
      </c>
      <c r="B277" s="5" t="s">
        <v>178</v>
      </c>
      <c r="C277" s="12">
        <v>45435</v>
      </c>
      <c r="D277" s="5" t="s">
        <v>324</v>
      </c>
      <c r="E277" s="6">
        <v>6912</v>
      </c>
      <c r="F277" s="5">
        <v>2024</v>
      </c>
    </row>
    <row r="278" spans="1:6" x14ac:dyDescent="0.25">
      <c r="A278" s="5" t="s">
        <v>601</v>
      </c>
      <c r="B278" s="5" t="s">
        <v>178</v>
      </c>
      <c r="C278" s="12">
        <v>45416</v>
      </c>
      <c r="D278" s="5" t="s">
        <v>324</v>
      </c>
      <c r="E278" s="6">
        <v>67028</v>
      </c>
      <c r="F278" s="5">
        <v>2024</v>
      </c>
    </row>
    <row r="279" spans="1:6" x14ac:dyDescent="0.25">
      <c r="A279" s="5" t="s">
        <v>602</v>
      </c>
      <c r="B279" s="5" t="s">
        <v>178</v>
      </c>
      <c r="C279" s="12">
        <v>45425</v>
      </c>
      <c r="D279" s="5" t="s">
        <v>324</v>
      </c>
      <c r="E279" s="6">
        <v>6912</v>
      </c>
      <c r="F279" s="5">
        <v>2024</v>
      </c>
    </row>
    <row r="280" spans="1:6" x14ac:dyDescent="0.25">
      <c r="A280" s="5" t="s">
        <v>603</v>
      </c>
      <c r="B280" s="5" t="s">
        <v>178</v>
      </c>
      <c r="C280" s="12">
        <v>45470</v>
      </c>
      <c r="D280" s="5" t="s">
        <v>324</v>
      </c>
      <c r="E280" s="6">
        <v>14134</v>
      </c>
      <c r="F280" s="5">
        <v>2024</v>
      </c>
    </row>
    <row r="281" spans="1:6" x14ac:dyDescent="0.25">
      <c r="A281" s="5" t="s">
        <v>604</v>
      </c>
      <c r="B281" s="5" t="s">
        <v>178</v>
      </c>
      <c r="C281" s="12">
        <v>45497</v>
      </c>
      <c r="D281" s="5" t="s">
        <v>12</v>
      </c>
      <c r="E281" s="6">
        <v>38751</v>
      </c>
      <c r="F281" s="5">
        <v>2024</v>
      </c>
    </row>
    <row r="282" spans="1:6" x14ac:dyDescent="0.25">
      <c r="A282" s="5" t="s">
        <v>605</v>
      </c>
      <c r="B282" s="5" t="s">
        <v>178</v>
      </c>
      <c r="C282" s="12">
        <v>45506</v>
      </c>
      <c r="D282" s="5" t="s">
        <v>330</v>
      </c>
      <c r="E282" s="6">
        <v>10461</v>
      </c>
      <c r="F282" s="5">
        <v>2024</v>
      </c>
    </row>
    <row r="283" spans="1:6" x14ac:dyDescent="0.25">
      <c r="A283" s="5" t="s">
        <v>606</v>
      </c>
      <c r="B283" s="5" t="s">
        <v>178</v>
      </c>
      <c r="C283" s="12">
        <v>45584</v>
      </c>
      <c r="D283" s="5" t="s">
        <v>330</v>
      </c>
      <c r="E283" s="6">
        <v>13747</v>
      </c>
      <c r="F283" s="5">
        <v>2024</v>
      </c>
    </row>
    <row r="284" spans="1:6" x14ac:dyDescent="0.25">
      <c r="A284" s="5" t="s">
        <v>607</v>
      </c>
      <c r="B284" s="5" t="s">
        <v>178</v>
      </c>
      <c r="C284" s="12">
        <v>45560</v>
      </c>
      <c r="D284" s="5" t="s">
        <v>330</v>
      </c>
      <c r="E284" s="6">
        <v>38087</v>
      </c>
      <c r="F284" s="5">
        <v>2024</v>
      </c>
    </row>
    <row r="285" spans="1:6" x14ac:dyDescent="0.25">
      <c r="A285" s="5" t="s">
        <v>608</v>
      </c>
      <c r="B285" s="5" t="s">
        <v>181</v>
      </c>
      <c r="C285" s="12">
        <v>45491</v>
      </c>
      <c r="D285" s="5" t="s">
        <v>324</v>
      </c>
      <c r="E285" s="6">
        <v>35144</v>
      </c>
      <c r="F285" s="5">
        <v>2024</v>
      </c>
    </row>
    <row r="286" spans="1:6" x14ac:dyDescent="0.25">
      <c r="A286" s="5" t="s">
        <v>609</v>
      </c>
      <c r="B286" s="5" t="s">
        <v>181</v>
      </c>
      <c r="C286" s="12">
        <v>45450</v>
      </c>
      <c r="D286" s="5" t="s">
        <v>324</v>
      </c>
      <c r="E286" s="6">
        <v>31983</v>
      </c>
      <c r="F286" s="5">
        <v>2024</v>
      </c>
    </row>
    <row r="287" spans="1:6" x14ac:dyDescent="0.25">
      <c r="A287" s="5" t="s">
        <v>610</v>
      </c>
      <c r="B287" s="5" t="s">
        <v>181</v>
      </c>
      <c r="C287" s="12">
        <v>45500</v>
      </c>
      <c r="D287" s="5" t="s">
        <v>324</v>
      </c>
      <c r="E287" s="6">
        <v>13422</v>
      </c>
      <c r="F287" s="5">
        <v>2024</v>
      </c>
    </row>
    <row r="288" spans="1:6" x14ac:dyDescent="0.25">
      <c r="A288" s="5" t="s">
        <v>611</v>
      </c>
      <c r="B288" s="5" t="s">
        <v>181</v>
      </c>
      <c r="C288" s="12">
        <v>45466</v>
      </c>
      <c r="D288" s="5" t="s">
        <v>324</v>
      </c>
      <c r="E288" s="6">
        <v>24264</v>
      </c>
      <c r="F288" s="5">
        <v>2024</v>
      </c>
    </row>
    <row r="289" spans="1:6" x14ac:dyDescent="0.25">
      <c r="A289" s="5" t="s">
        <v>612</v>
      </c>
      <c r="B289" s="5" t="s">
        <v>181</v>
      </c>
      <c r="C289" s="12">
        <v>45523</v>
      </c>
      <c r="D289" s="5" t="s">
        <v>12</v>
      </c>
      <c r="E289" s="6">
        <v>42761</v>
      </c>
      <c r="F289" s="5">
        <v>2024</v>
      </c>
    </row>
    <row r="290" spans="1:6" x14ac:dyDescent="0.25">
      <c r="A290" s="5" t="s">
        <v>613</v>
      </c>
      <c r="B290" s="5" t="s">
        <v>181</v>
      </c>
      <c r="C290" s="12">
        <v>45529</v>
      </c>
      <c r="D290" s="5" t="s">
        <v>330</v>
      </c>
      <c r="E290" s="6">
        <v>12652</v>
      </c>
      <c r="F290" s="5">
        <v>2024</v>
      </c>
    </row>
    <row r="291" spans="1:6" x14ac:dyDescent="0.25">
      <c r="A291" s="5" t="s">
        <v>614</v>
      </c>
      <c r="B291" s="5" t="s">
        <v>181</v>
      </c>
      <c r="C291" s="12">
        <v>45548</v>
      </c>
      <c r="D291" s="5" t="s">
        <v>330</v>
      </c>
      <c r="E291" s="6">
        <v>27322</v>
      </c>
      <c r="F291" s="5">
        <v>2024</v>
      </c>
    </row>
    <row r="292" spans="1:6" x14ac:dyDescent="0.25">
      <c r="A292" s="5" t="s">
        <v>615</v>
      </c>
      <c r="B292" s="5" t="s">
        <v>181</v>
      </c>
      <c r="C292" s="12">
        <v>45528</v>
      </c>
      <c r="D292" s="5" t="s">
        <v>330</v>
      </c>
      <c r="E292" s="6">
        <v>16782</v>
      </c>
      <c r="F292" s="5">
        <v>2024</v>
      </c>
    </row>
    <row r="293" spans="1:6" x14ac:dyDescent="0.25">
      <c r="A293" s="5" t="s">
        <v>616</v>
      </c>
      <c r="B293" s="5" t="s">
        <v>181</v>
      </c>
      <c r="C293" s="12">
        <v>45504</v>
      </c>
      <c r="D293" s="5" t="s">
        <v>330</v>
      </c>
      <c r="E293" s="6">
        <v>11984</v>
      </c>
      <c r="F293" s="5">
        <v>2024</v>
      </c>
    </row>
    <row r="294" spans="1:6" x14ac:dyDescent="0.25">
      <c r="A294" s="5" t="s">
        <v>617</v>
      </c>
      <c r="B294" s="5" t="s">
        <v>186</v>
      </c>
      <c r="C294" s="12">
        <v>45667</v>
      </c>
      <c r="D294" s="5" t="s">
        <v>324</v>
      </c>
      <c r="E294" s="6">
        <v>11799</v>
      </c>
      <c r="F294" s="5">
        <v>2024</v>
      </c>
    </row>
    <row r="295" spans="1:6" x14ac:dyDescent="0.25">
      <c r="A295" s="5" t="s">
        <v>618</v>
      </c>
      <c r="B295" s="5" t="s">
        <v>186</v>
      </c>
      <c r="C295" s="12">
        <v>45663</v>
      </c>
      <c r="D295" s="5" t="s">
        <v>324</v>
      </c>
      <c r="E295" s="6">
        <v>30312</v>
      </c>
      <c r="F295" s="5">
        <v>2024</v>
      </c>
    </row>
    <row r="296" spans="1:6" x14ac:dyDescent="0.25">
      <c r="A296" s="5" t="s">
        <v>619</v>
      </c>
      <c r="B296" s="5" t="s">
        <v>186</v>
      </c>
      <c r="C296" s="12">
        <v>45672</v>
      </c>
      <c r="D296" s="5" t="s">
        <v>12</v>
      </c>
      <c r="E296" s="6">
        <v>8028</v>
      </c>
      <c r="F296" s="5">
        <v>2024</v>
      </c>
    </row>
    <row r="297" spans="1:6" x14ac:dyDescent="0.25">
      <c r="A297" s="5" t="s">
        <v>620</v>
      </c>
      <c r="B297" s="5" t="s">
        <v>186</v>
      </c>
      <c r="C297" s="12">
        <v>45677</v>
      </c>
      <c r="D297" s="5" t="s">
        <v>12</v>
      </c>
      <c r="E297" s="6">
        <v>6513</v>
      </c>
      <c r="F297" s="5">
        <v>2024</v>
      </c>
    </row>
    <row r="298" spans="1:6" x14ac:dyDescent="0.25">
      <c r="A298" s="5" t="s">
        <v>621</v>
      </c>
      <c r="B298" s="5" t="s">
        <v>186</v>
      </c>
      <c r="C298" s="12">
        <v>45681</v>
      </c>
      <c r="D298" s="5" t="s">
        <v>330</v>
      </c>
      <c r="E298" s="6">
        <v>6881</v>
      </c>
      <c r="F298" s="5">
        <v>2024</v>
      </c>
    </row>
    <row r="299" spans="1:6" x14ac:dyDescent="0.25">
      <c r="A299" s="5" t="s">
        <v>622</v>
      </c>
      <c r="B299" s="5" t="s">
        <v>186</v>
      </c>
      <c r="C299" s="12">
        <v>45685</v>
      </c>
      <c r="D299" s="5" t="s">
        <v>330</v>
      </c>
      <c r="E299" s="6">
        <v>3569</v>
      </c>
      <c r="F299" s="5">
        <v>2024</v>
      </c>
    </row>
    <row r="300" spans="1:6" x14ac:dyDescent="0.25">
      <c r="A300" s="5" t="s">
        <v>623</v>
      </c>
      <c r="B300" s="5" t="s">
        <v>186</v>
      </c>
      <c r="C300" s="12">
        <v>45697</v>
      </c>
      <c r="D300" s="5" t="s">
        <v>330</v>
      </c>
      <c r="E300" s="6">
        <v>11033</v>
      </c>
      <c r="F300" s="5">
        <v>2024</v>
      </c>
    </row>
    <row r="301" spans="1:6" x14ac:dyDescent="0.25">
      <c r="A301" s="5" t="s">
        <v>624</v>
      </c>
      <c r="B301" s="5" t="s">
        <v>186</v>
      </c>
      <c r="C301" s="12">
        <v>45694</v>
      </c>
      <c r="D301" s="5" t="s">
        <v>330</v>
      </c>
      <c r="E301" s="6">
        <v>3707</v>
      </c>
      <c r="F301" s="5">
        <v>2024</v>
      </c>
    </row>
    <row r="302" spans="1:6" x14ac:dyDescent="0.25">
      <c r="A302" s="5" t="s">
        <v>625</v>
      </c>
      <c r="B302" s="5" t="s">
        <v>189</v>
      </c>
      <c r="C302" s="12">
        <v>45458</v>
      </c>
      <c r="D302" s="5" t="s">
        <v>324</v>
      </c>
      <c r="E302" s="6">
        <v>30017</v>
      </c>
      <c r="F302" s="5">
        <v>2024</v>
      </c>
    </row>
    <row r="303" spans="1:6" x14ac:dyDescent="0.25">
      <c r="A303" s="5" t="s">
        <v>626</v>
      </c>
      <c r="B303" s="5" t="s">
        <v>189</v>
      </c>
      <c r="C303" s="12">
        <v>45505</v>
      </c>
      <c r="D303" s="5" t="s">
        <v>324</v>
      </c>
      <c r="E303" s="6">
        <v>20669</v>
      </c>
      <c r="F303" s="5">
        <v>2024</v>
      </c>
    </row>
    <row r="304" spans="1:6" x14ac:dyDescent="0.25">
      <c r="A304" s="5" t="s">
        <v>627</v>
      </c>
      <c r="B304" s="5" t="s">
        <v>189</v>
      </c>
      <c r="C304" s="12">
        <v>45478</v>
      </c>
      <c r="D304" s="5" t="s">
        <v>324</v>
      </c>
      <c r="E304" s="6">
        <v>49510</v>
      </c>
      <c r="F304" s="5">
        <v>2024</v>
      </c>
    </row>
    <row r="305" spans="1:6" x14ac:dyDescent="0.25">
      <c r="A305" s="5" t="s">
        <v>628</v>
      </c>
      <c r="B305" s="5" t="s">
        <v>189</v>
      </c>
      <c r="C305" s="12">
        <v>45575</v>
      </c>
      <c r="D305" s="5" t="s">
        <v>12</v>
      </c>
      <c r="E305" s="6">
        <v>40877</v>
      </c>
      <c r="F305" s="5">
        <v>2024</v>
      </c>
    </row>
    <row r="306" spans="1:6" x14ac:dyDescent="0.25">
      <c r="A306" s="5" t="s">
        <v>629</v>
      </c>
      <c r="B306" s="5" t="s">
        <v>189</v>
      </c>
      <c r="C306" s="12">
        <v>45557</v>
      </c>
      <c r="D306" s="5" t="s">
        <v>330</v>
      </c>
      <c r="E306" s="6">
        <v>30779</v>
      </c>
      <c r="F306" s="5">
        <v>2024</v>
      </c>
    </row>
    <row r="307" spans="1:6" x14ac:dyDescent="0.25">
      <c r="A307" s="5" t="s">
        <v>630</v>
      </c>
      <c r="B307" s="5" t="s">
        <v>189</v>
      </c>
      <c r="C307" s="12">
        <v>45481</v>
      </c>
      <c r="D307" s="5" t="s">
        <v>330</v>
      </c>
      <c r="E307" s="6">
        <v>18552</v>
      </c>
      <c r="F307" s="5">
        <v>2024</v>
      </c>
    </row>
    <row r="308" spans="1:6" x14ac:dyDescent="0.25">
      <c r="A308" s="5" t="s">
        <v>631</v>
      </c>
      <c r="B308" s="5" t="s">
        <v>189</v>
      </c>
      <c r="C308" s="12">
        <v>45534</v>
      </c>
      <c r="D308" s="5" t="s">
        <v>330</v>
      </c>
      <c r="E308" s="6">
        <v>16380</v>
      </c>
      <c r="F308" s="5">
        <v>2024</v>
      </c>
    </row>
    <row r="309" spans="1:6" x14ac:dyDescent="0.25">
      <c r="A309" s="5" t="s">
        <v>632</v>
      </c>
      <c r="B309" s="5" t="s">
        <v>194</v>
      </c>
      <c r="C309" s="12">
        <v>45445</v>
      </c>
      <c r="D309" s="5" t="s">
        <v>324</v>
      </c>
      <c r="E309" s="6">
        <v>25477</v>
      </c>
      <c r="F309" s="5">
        <v>2024</v>
      </c>
    </row>
    <row r="310" spans="1:6" x14ac:dyDescent="0.25">
      <c r="A310" s="5" t="s">
        <v>633</v>
      </c>
      <c r="B310" s="5" t="s">
        <v>194</v>
      </c>
      <c r="C310" s="12">
        <v>45459</v>
      </c>
      <c r="D310" s="5" t="s">
        <v>324</v>
      </c>
      <c r="E310" s="6">
        <v>17305</v>
      </c>
      <c r="F310" s="5">
        <v>2024</v>
      </c>
    </row>
    <row r="311" spans="1:6" x14ac:dyDescent="0.25">
      <c r="A311" s="5" t="s">
        <v>634</v>
      </c>
      <c r="B311" s="5" t="s">
        <v>194</v>
      </c>
      <c r="C311" s="12">
        <v>45458</v>
      </c>
      <c r="D311" s="5" t="s">
        <v>324</v>
      </c>
      <c r="E311" s="6">
        <v>29606</v>
      </c>
      <c r="F311" s="5">
        <v>2024</v>
      </c>
    </row>
    <row r="312" spans="1:6" x14ac:dyDescent="0.25">
      <c r="A312" s="5" t="s">
        <v>635</v>
      </c>
      <c r="B312" s="5" t="s">
        <v>194</v>
      </c>
      <c r="C312" s="12">
        <v>45452</v>
      </c>
      <c r="D312" s="5" t="s">
        <v>324</v>
      </c>
      <c r="E312" s="6">
        <v>5494</v>
      </c>
      <c r="F312" s="5">
        <v>2024</v>
      </c>
    </row>
    <row r="313" spans="1:6" x14ac:dyDescent="0.25">
      <c r="A313" s="5" t="s">
        <v>636</v>
      </c>
      <c r="B313" s="5" t="s">
        <v>194</v>
      </c>
      <c r="C313" s="12">
        <v>45503</v>
      </c>
      <c r="D313" s="5" t="s">
        <v>12</v>
      </c>
      <c r="E313" s="6">
        <v>26894</v>
      </c>
      <c r="F313" s="5">
        <v>2024</v>
      </c>
    </row>
    <row r="314" spans="1:6" x14ac:dyDescent="0.25">
      <c r="A314" s="5" t="s">
        <v>637</v>
      </c>
      <c r="B314" s="5" t="s">
        <v>194</v>
      </c>
      <c r="C314" s="12">
        <v>45486</v>
      </c>
      <c r="D314" s="5" t="s">
        <v>330</v>
      </c>
      <c r="E314" s="6">
        <v>17502</v>
      </c>
      <c r="F314" s="5">
        <v>2024</v>
      </c>
    </row>
    <row r="315" spans="1:6" x14ac:dyDescent="0.25">
      <c r="A315" s="5" t="s">
        <v>638</v>
      </c>
      <c r="B315" s="5" t="s">
        <v>194</v>
      </c>
      <c r="C315" s="12">
        <v>45515</v>
      </c>
      <c r="D315" s="5" t="s">
        <v>330</v>
      </c>
      <c r="E315" s="6">
        <v>5842</v>
      </c>
      <c r="F315" s="5">
        <v>2024</v>
      </c>
    </row>
    <row r="316" spans="1:6" x14ac:dyDescent="0.25">
      <c r="A316" s="5" t="s">
        <v>639</v>
      </c>
      <c r="B316" s="5" t="s">
        <v>194</v>
      </c>
      <c r="C316" s="12">
        <v>45463</v>
      </c>
      <c r="D316" s="5" t="s">
        <v>330</v>
      </c>
      <c r="E316" s="6">
        <v>13597</v>
      </c>
      <c r="F316" s="5">
        <v>2024</v>
      </c>
    </row>
    <row r="317" spans="1:6" x14ac:dyDescent="0.25">
      <c r="A317" s="5" t="s">
        <v>640</v>
      </c>
      <c r="B317" s="5" t="s">
        <v>194</v>
      </c>
      <c r="C317" s="12">
        <v>45464</v>
      </c>
      <c r="D317" s="5" t="s">
        <v>330</v>
      </c>
      <c r="E317" s="6">
        <v>4861</v>
      </c>
      <c r="F317" s="5">
        <v>2024</v>
      </c>
    </row>
    <row r="318" spans="1:6" x14ac:dyDescent="0.25">
      <c r="A318" s="5" t="s">
        <v>641</v>
      </c>
      <c r="B318" s="5" t="s">
        <v>194</v>
      </c>
      <c r="C318" s="12">
        <v>45463</v>
      </c>
      <c r="D318" s="5" t="s">
        <v>330</v>
      </c>
      <c r="E318" s="6">
        <v>4785</v>
      </c>
      <c r="F318" s="5">
        <v>2024</v>
      </c>
    </row>
    <row r="319" spans="1:6" x14ac:dyDescent="0.25">
      <c r="A319" s="5" t="s">
        <v>642</v>
      </c>
      <c r="B319" s="5" t="s">
        <v>196</v>
      </c>
      <c r="C319" s="12">
        <v>45431</v>
      </c>
      <c r="D319" s="5" t="s">
        <v>324</v>
      </c>
      <c r="E319" s="6">
        <v>12359</v>
      </c>
      <c r="F319" s="5">
        <v>2024</v>
      </c>
    </row>
    <row r="320" spans="1:6" x14ac:dyDescent="0.25">
      <c r="A320" s="5" t="s">
        <v>643</v>
      </c>
      <c r="B320" s="5" t="s">
        <v>196</v>
      </c>
      <c r="C320" s="12">
        <v>45421</v>
      </c>
      <c r="D320" s="5" t="s">
        <v>324</v>
      </c>
      <c r="E320" s="6">
        <v>32903</v>
      </c>
      <c r="F320" s="5">
        <v>2024</v>
      </c>
    </row>
    <row r="321" spans="1:6" x14ac:dyDescent="0.25">
      <c r="A321" s="5" t="s">
        <v>644</v>
      </c>
      <c r="B321" s="5" t="s">
        <v>196</v>
      </c>
      <c r="C321" s="12">
        <v>45448</v>
      </c>
      <c r="D321" s="5" t="s">
        <v>12</v>
      </c>
      <c r="E321" s="6">
        <v>18465</v>
      </c>
      <c r="F321" s="5">
        <v>2024</v>
      </c>
    </row>
    <row r="322" spans="1:6" x14ac:dyDescent="0.25">
      <c r="A322" s="5" t="s">
        <v>645</v>
      </c>
      <c r="B322" s="5" t="s">
        <v>196</v>
      </c>
      <c r="C322" s="12">
        <v>45411</v>
      </c>
      <c r="D322" s="5" t="s">
        <v>330</v>
      </c>
      <c r="E322" s="6">
        <v>12076</v>
      </c>
      <c r="F322" s="5">
        <v>2024</v>
      </c>
    </row>
    <row r="323" spans="1:6" x14ac:dyDescent="0.25">
      <c r="A323" s="5" t="s">
        <v>646</v>
      </c>
      <c r="B323" s="5" t="s">
        <v>196</v>
      </c>
      <c r="C323" s="12">
        <v>45415</v>
      </c>
      <c r="D323" s="5" t="s">
        <v>330</v>
      </c>
      <c r="E323" s="6">
        <v>2869</v>
      </c>
      <c r="F323" s="5">
        <v>2024</v>
      </c>
    </row>
    <row r="324" spans="1:6" x14ac:dyDescent="0.25">
      <c r="A324" s="5" t="s">
        <v>647</v>
      </c>
      <c r="B324" s="5" t="s">
        <v>196</v>
      </c>
      <c r="C324" s="12">
        <v>45411</v>
      </c>
      <c r="D324" s="5" t="s">
        <v>330</v>
      </c>
      <c r="E324" s="6">
        <v>14741</v>
      </c>
      <c r="F324" s="5">
        <v>2024</v>
      </c>
    </row>
    <row r="325" spans="1:6" x14ac:dyDescent="0.25">
      <c r="A325" s="5" t="s">
        <v>648</v>
      </c>
      <c r="B325" s="5" t="s">
        <v>199</v>
      </c>
      <c r="C325" s="12">
        <v>45432</v>
      </c>
      <c r="D325" s="5" t="s">
        <v>324</v>
      </c>
      <c r="E325" s="6">
        <v>40726</v>
      </c>
      <c r="F325" s="5">
        <v>2024</v>
      </c>
    </row>
    <row r="326" spans="1:6" x14ac:dyDescent="0.25">
      <c r="A326" s="5" t="s">
        <v>649</v>
      </c>
      <c r="B326" s="5" t="s">
        <v>199</v>
      </c>
      <c r="C326" s="12">
        <v>45461</v>
      </c>
      <c r="D326" s="5" t="s">
        <v>324</v>
      </c>
      <c r="E326" s="6">
        <v>17521</v>
      </c>
      <c r="F326" s="5">
        <v>2024</v>
      </c>
    </row>
    <row r="327" spans="1:6" x14ac:dyDescent="0.25">
      <c r="A327" s="5" t="s">
        <v>650</v>
      </c>
      <c r="B327" s="5" t="s">
        <v>199</v>
      </c>
      <c r="C327" s="12">
        <v>45388</v>
      </c>
      <c r="D327" s="5" t="s">
        <v>324</v>
      </c>
      <c r="E327" s="6">
        <v>23166</v>
      </c>
      <c r="F327" s="5">
        <v>2024</v>
      </c>
    </row>
    <row r="328" spans="1:6" x14ac:dyDescent="0.25">
      <c r="A328" s="5" t="s">
        <v>651</v>
      </c>
      <c r="B328" s="5" t="s">
        <v>199</v>
      </c>
      <c r="C328" s="12">
        <v>45424</v>
      </c>
      <c r="D328" s="5" t="s">
        <v>324</v>
      </c>
      <c r="E328" s="6">
        <v>13834</v>
      </c>
      <c r="F328" s="5">
        <v>2024</v>
      </c>
    </row>
    <row r="329" spans="1:6" x14ac:dyDescent="0.25">
      <c r="A329" s="5" t="s">
        <v>652</v>
      </c>
      <c r="B329" s="5" t="s">
        <v>199</v>
      </c>
      <c r="C329" s="12">
        <v>45462</v>
      </c>
      <c r="D329" s="5" t="s">
        <v>12</v>
      </c>
      <c r="E329" s="6">
        <v>38858</v>
      </c>
      <c r="F329" s="5">
        <v>2024</v>
      </c>
    </row>
    <row r="330" spans="1:6" x14ac:dyDescent="0.25">
      <c r="A330" s="5" t="s">
        <v>653</v>
      </c>
      <c r="B330" s="5" t="s">
        <v>199</v>
      </c>
      <c r="C330" s="12">
        <v>45531</v>
      </c>
      <c r="D330" s="5" t="s">
        <v>330</v>
      </c>
      <c r="E330" s="6">
        <v>29409</v>
      </c>
      <c r="F330" s="5">
        <v>2024</v>
      </c>
    </row>
    <row r="331" spans="1:6" x14ac:dyDescent="0.25">
      <c r="A331" s="5" t="s">
        <v>654</v>
      </c>
      <c r="B331" s="5" t="s">
        <v>199</v>
      </c>
      <c r="C331" s="12">
        <v>45527</v>
      </c>
      <c r="D331" s="5" t="s">
        <v>330</v>
      </c>
      <c r="E331" s="6">
        <v>6179</v>
      </c>
      <c r="F331" s="5">
        <v>2024</v>
      </c>
    </row>
    <row r="332" spans="1:6" x14ac:dyDescent="0.25">
      <c r="A332" s="5" t="s">
        <v>655</v>
      </c>
      <c r="B332" s="5" t="s">
        <v>199</v>
      </c>
      <c r="C332" s="12">
        <v>45497</v>
      </c>
      <c r="D332" s="5" t="s">
        <v>330</v>
      </c>
      <c r="E332" s="6">
        <v>26878</v>
      </c>
      <c r="F332" s="5">
        <v>2024</v>
      </c>
    </row>
    <row r="333" spans="1:6" x14ac:dyDescent="0.25">
      <c r="A333" s="5" t="s">
        <v>656</v>
      </c>
      <c r="B333" s="5" t="s">
        <v>204</v>
      </c>
      <c r="C333" s="12">
        <v>45599</v>
      </c>
      <c r="D333" s="5" t="s">
        <v>324</v>
      </c>
      <c r="E333" s="6">
        <v>11268</v>
      </c>
      <c r="F333" s="5">
        <v>2024</v>
      </c>
    </row>
    <row r="334" spans="1:6" x14ac:dyDescent="0.25">
      <c r="A334" s="5" t="s">
        <v>657</v>
      </c>
      <c r="B334" s="5" t="s">
        <v>204</v>
      </c>
      <c r="C334" s="12">
        <v>45572</v>
      </c>
      <c r="D334" s="5" t="s">
        <v>324</v>
      </c>
      <c r="E334" s="6">
        <v>23123</v>
      </c>
      <c r="F334" s="5">
        <v>2024</v>
      </c>
    </row>
    <row r="335" spans="1:6" x14ac:dyDescent="0.25">
      <c r="A335" s="5" t="s">
        <v>658</v>
      </c>
      <c r="B335" s="5" t="s">
        <v>204</v>
      </c>
      <c r="C335" s="12">
        <v>45640</v>
      </c>
      <c r="D335" s="5" t="s">
        <v>12</v>
      </c>
      <c r="E335" s="6">
        <v>8393</v>
      </c>
      <c r="F335" s="5">
        <v>2024</v>
      </c>
    </row>
    <row r="336" spans="1:6" x14ac:dyDescent="0.25">
      <c r="A336" s="5" t="s">
        <v>659</v>
      </c>
      <c r="B336" s="5" t="s">
        <v>204</v>
      </c>
      <c r="C336" s="12">
        <v>45615</v>
      </c>
      <c r="D336" s="5" t="s">
        <v>12</v>
      </c>
      <c r="E336" s="6">
        <v>4872</v>
      </c>
      <c r="F336" s="5">
        <v>2024</v>
      </c>
    </row>
    <row r="337" spans="1:6" x14ac:dyDescent="0.25">
      <c r="A337" s="5" t="s">
        <v>660</v>
      </c>
      <c r="B337" s="5" t="s">
        <v>204</v>
      </c>
      <c r="C337" s="12">
        <v>45585</v>
      </c>
      <c r="D337" s="5" t="s">
        <v>330</v>
      </c>
      <c r="E337" s="6">
        <v>9022</v>
      </c>
      <c r="F337" s="5">
        <v>2024</v>
      </c>
    </row>
    <row r="338" spans="1:6" x14ac:dyDescent="0.25">
      <c r="A338" s="5" t="s">
        <v>661</v>
      </c>
      <c r="B338" s="5" t="s">
        <v>204</v>
      </c>
      <c r="C338" s="12">
        <v>45622</v>
      </c>
      <c r="D338" s="5" t="s">
        <v>330</v>
      </c>
      <c r="E338" s="6">
        <v>10144</v>
      </c>
      <c r="F338" s="5">
        <v>2024</v>
      </c>
    </row>
    <row r="339" spans="1:6" x14ac:dyDescent="0.25">
      <c r="A339" s="5" t="s">
        <v>662</v>
      </c>
      <c r="B339" s="5" t="s">
        <v>204</v>
      </c>
      <c r="C339" s="12">
        <v>45612</v>
      </c>
      <c r="D339" s="5" t="s">
        <v>330</v>
      </c>
      <c r="E339" s="6">
        <v>2024</v>
      </c>
      <c r="F339" s="5">
        <v>2024</v>
      </c>
    </row>
    <row r="340" spans="1:6" x14ac:dyDescent="0.25">
      <c r="A340" s="5" t="s">
        <v>663</v>
      </c>
      <c r="B340" s="5" t="s">
        <v>207</v>
      </c>
      <c r="C340" s="12">
        <v>45498</v>
      </c>
      <c r="D340" s="5" t="s">
        <v>324</v>
      </c>
      <c r="E340" s="6">
        <v>4676</v>
      </c>
      <c r="F340" s="5">
        <v>2024</v>
      </c>
    </row>
    <row r="341" spans="1:6" x14ac:dyDescent="0.25">
      <c r="A341" s="5" t="s">
        <v>664</v>
      </c>
      <c r="B341" s="5" t="s">
        <v>207</v>
      </c>
      <c r="C341" s="12">
        <v>45503</v>
      </c>
      <c r="D341" s="5" t="s">
        <v>324</v>
      </c>
      <c r="E341" s="6">
        <v>1400</v>
      </c>
      <c r="F341" s="5">
        <v>2024</v>
      </c>
    </row>
    <row r="342" spans="1:6" x14ac:dyDescent="0.25">
      <c r="A342" s="5" t="s">
        <v>665</v>
      </c>
      <c r="B342" s="5" t="s">
        <v>207</v>
      </c>
      <c r="C342" s="12">
        <v>45498</v>
      </c>
      <c r="D342" s="5" t="s">
        <v>324</v>
      </c>
      <c r="E342" s="6">
        <v>5970</v>
      </c>
      <c r="F342" s="5">
        <v>2024</v>
      </c>
    </row>
    <row r="343" spans="1:6" x14ac:dyDescent="0.25">
      <c r="A343" s="5" t="s">
        <v>666</v>
      </c>
      <c r="B343" s="5" t="s">
        <v>207</v>
      </c>
      <c r="C343" s="12">
        <v>45507</v>
      </c>
      <c r="D343" s="5" t="s">
        <v>324</v>
      </c>
      <c r="E343" s="6">
        <v>6637</v>
      </c>
      <c r="F343" s="5">
        <v>2024</v>
      </c>
    </row>
    <row r="344" spans="1:6" x14ac:dyDescent="0.25">
      <c r="A344" s="5" t="s">
        <v>667</v>
      </c>
      <c r="B344" s="5" t="s">
        <v>207</v>
      </c>
      <c r="C344" s="12">
        <v>45522</v>
      </c>
      <c r="D344" s="5" t="s">
        <v>12</v>
      </c>
      <c r="E344" s="6">
        <v>6451</v>
      </c>
      <c r="F344" s="5">
        <v>2024</v>
      </c>
    </row>
    <row r="345" spans="1:6" x14ac:dyDescent="0.25">
      <c r="A345" s="5" t="s">
        <v>668</v>
      </c>
      <c r="B345" s="5" t="s">
        <v>207</v>
      </c>
      <c r="C345" s="12">
        <v>45492</v>
      </c>
      <c r="D345" s="5" t="s">
        <v>330</v>
      </c>
      <c r="E345" s="6">
        <v>2552</v>
      </c>
      <c r="F345" s="5">
        <v>2024</v>
      </c>
    </row>
    <row r="346" spans="1:6" x14ac:dyDescent="0.25">
      <c r="A346" s="5" t="s">
        <v>669</v>
      </c>
      <c r="B346" s="5" t="s">
        <v>207</v>
      </c>
      <c r="C346" s="12">
        <v>45528</v>
      </c>
      <c r="D346" s="5" t="s">
        <v>330</v>
      </c>
      <c r="E346" s="6">
        <v>817</v>
      </c>
      <c r="F346" s="5">
        <v>2024</v>
      </c>
    </row>
    <row r="347" spans="1:6" x14ac:dyDescent="0.25">
      <c r="A347" s="5" t="s">
        <v>670</v>
      </c>
      <c r="B347" s="5" t="s">
        <v>207</v>
      </c>
      <c r="C347" s="12">
        <v>45512</v>
      </c>
      <c r="D347" s="5" t="s">
        <v>330</v>
      </c>
      <c r="E347" s="6">
        <v>866</v>
      </c>
      <c r="F347" s="5">
        <v>2024</v>
      </c>
    </row>
    <row r="348" spans="1:6" x14ac:dyDescent="0.25">
      <c r="A348" s="5" t="s">
        <v>671</v>
      </c>
      <c r="B348" s="5" t="s">
        <v>207</v>
      </c>
      <c r="C348" s="12">
        <v>45504</v>
      </c>
      <c r="D348" s="5" t="s">
        <v>330</v>
      </c>
      <c r="E348" s="6">
        <v>6942</v>
      </c>
      <c r="F348" s="5">
        <v>2024</v>
      </c>
    </row>
    <row r="349" spans="1:6" x14ac:dyDescent="0.25">
      <c r="A349" s="5" t="s">
        <v>672</v>
      </c>
      <c r="B349" s="5" t="s">
        <v>210</v>
      </c>
      <c r="C349" s="12">
        <v>45422</v>
      </c>
      <c r="D349" s="5" t="s">
        <v>324</v>
      </c>
      <c r="E349" s="6">
        <v>1527</v>
      </c>
      <c r="F349" s="5">
        <v>2024</v>
      </c>
    </row>
    <row r="350" spans="1:6" x14ac:dyDescent="0.25">
      <c r="A350" s="5" t="s">
        <v>673</v>
      </c>
      <c r="B350" s="5" t="s">
        <v>210</v>
      </c>
      <c r="C350" s="12">
        <v>45410</v>
      </c>
      <c r="D350" s="5" t="s">
        <v>324</v>
      </c>
      <c r="E350" s="6">
        <v>8599</v>
      </c>
      <c r="F350" s="5">
        <v>2024</v>
      </c>
    </row>
    <row r="351" spans="1:6" x14ac:dyDescent="0.25">
      <c r="A351" s="5" t="s">
        <v>674</v>
      </c>
      <c r="B351" s="5" t="s">
        <v>210</v>
      </c>
      <c r="C351" s="12">
        <v>45411</v>
      </c>
      <c r="D351" s="5" t="s">
        <v>324</v>
      </c>
      <c r="E351" s="6">
        <v>3629</v>
      </c>
      <c r="F351" s="5">
        <v>2024</v>
      </c>
    </row>
    <row r="352" spans="1:6" x14ac:dyDescent="0.25">
      <c r="A352" s="5" t="s">
        <v>675</v>
      </c>
      <c r="B352" s="5" t="s">
        <v>210</v>
      </c>
      <c r="C352" s="12">
        <v>45415</v>
      </c>
      <c r="D352" s="5" t="s">
        <v>324</v>
      </c>
      <c r="E352" s="6">
        <v>6767</v>
      </c>
      <c r="F352" s="5">
        <v>2024</v>
      </c>
    </row>
    <row r="353" spans="1:6" x14ac:dyDescent="0.25">
      <c r="A353" s="5" t="s">
        <v>676</v>
      </c>
      <c r="B353" s="5" t="s">
        <v>210</v>
      </c>
      <c r="C353" s="12">
        <v>45444</v>
      </c>
      <c r="D353" s="5" t="s">
        <v>12</v>
      </c>
      <c r="E353" s="6">
        <v>6155</v>
      </c>
      <c r="F353" s="5">
        <v>2024</v>
      </c>
    </row>
    <row r="354" spans="1:6" x14ac:dyDescent="0.25">
      <c r="A354" s="5" t="s">
        <v>677</v>
      </c>
      <c r="B354" s="5" t="s">
        <v>210</v>
      </c>
      <c r="C354" s="12">
        <v>45470</v>
      </c>
      <c r="D354" s="5" t="s">
        <v>12</v>
      </c>
      <c r="E354" s="6">
        <v>931</v>
      </c>
      <c r="F354" s="5">
        <v>2024</v>
      </c>
    </row>
    <row r="355" spans="1:6" x14ac:dyDescent="0.25">
      <c r="A355" s="5" t="s">
        <v>678</v>
      </c>
      <c r="B355" s="5" t="s">
        <v>210</v>
      </c>
      <c r="C355" s="12">
        <v>45437</v>
      </c>
      <c r="D355" s="5" t="s">
        <v>330</v>
      </c>
      <c r="E355" s="6">
        <v>2379</v>
      </c>
      <c r="F355" s="5">
        <v>2024</v>
      </c>
    </row>
    <row r="356" spans="1:6" x14ac:dyDescent="0.25">
      <c r="A356" s="5" t="s">
        <v>679</v>
      </c>
      <c r="B356" s="5" t="s">
        <v>210</v>
      </c>
      <c r="C356" s="12">
        <v>45437</v>
      </c>
      <c r="D356" s="5" t="s">
        <v>330</v>
      </c>
      <c r="E356" s="6">
        <v>7750</v>
      </c>
      <c r="F356" s="5">
        <v>2024</v>
      </c>
    </row>
    <row r="357" spans="1:6" x14ac:dyDescent="0.25">
      <c r="A357" s="5" t="s">
        <v>680</v>
      </c>
      <c r="B357" s="5" t="s">
        <v>210</v>
      </c>
      <c r="C357" s="12">
        <v>45428</v>
      </c>
      <c r="D357" s="5" t="s">
        <v>330</v>
      </c>
      <c r="E357" s="6">
        <v>2148</v>
      </c>
      <c r="F357" s="5">
        <v>2024</v>
      </c>
    </row>
    <row r="358" spans="1:6" x14ac:dyDescent="0.25">
      <c r="A358" s="5" t="s">
        <v>681</v>
      </c>
      <c r="B358" s="5" t="s">
        <v>213</v>
      </c>
      <c r="C358" s="12">
        <v>45316</v>
      </c>
      <c r="D358" s="5" t="s">
        <v>324</v>
      </c>
      <c r="E358" s="6">
        <v>7773</v>
      </c>
      <c r="F358" s="5">
        <v>2024</v>
      </c>
    </row>
    <row r="359" spans="1:6" x14ac:dyDescent="0.25">
      <c r="A359" s="5" t="s">
        <v>682</v>
      </c>
      <c r="B359" s="5" t="s">
        <v>213</v>
      </c>
      <c r="C359" s="12">
        <v>45323</v>
      </c>
      <c r="D359" s="5" t="s">
        <v>324</v>
      </c>
      <c r="E359" s="6">
        <v>8895</v>
      </c>
      <c r="F359" s="5">
        <v>2024</v>
      </c>
    </row>
    <row r="360" spans="1:6" x14ac:dyDescent="0.25">
      <c r="A360" s="5" t="s">
        <v>683</v>
      </c>
      <c r="B360" s="5" t="s">
        <v>213</v>
      </c>
      <c r="C360" s="12">
        <v>45328</v>
      </c>
      <c r="D360" s="5" t="s">
        <v>324</v>
      </c>
      <c r="E360" s="6">
        <v>11875</v>
      </c>
      <c r="F360" s="5">
        <v>2024</v>
      </c>
    </row>
    <row r="361" spans="1:6" x14ac:dyDescent="0.25">
      <c r="A361" s="5" t="s">
        <v>684</v>
      </c>
      <c r="B361" s="5" t="s">
        <v>213</v>
      </c>
      <c r="C361" s="12">
        <v>45326</v>
      </c>
      <c r="D361" s="5" t="s">
        <v>324</v>
      </c>
      <c r="E361" s="6">
        <v>10323</v>
      </c>
      <c r="F361" s="5">
        <v>2024</v>
      </c>
    </row>
    <row r="362" spans="1:6" x14ac:dyDescent="0.25">
      <c r="A362" s="5" t="s">
        <v>685</v>
      </c>
      <c r="B362" s="5" t="s">
        <v>213</v>
      </c>
      <c r="C362" s="12">
        <v>45344</v>
      </c>
      <c r="D362" s="5" t="s">
        <v>12</v>
      </c>
      <c r="E362" s="6">
        <v>8794</v>
      </c>
      <c r="F362" s="5">
        <v>2024</v>
      </c>
    </row>
    <row r="363" spans="1:6" x14ac:dyDescent="0.25">
      <c r="A363" s="5" t="s">
        <v>686</v>
      </c>
      <c r="B363" s="5" t="s">
        <v>213</v>
      </c>
      <c r="C363" s="12">
        <v>45352</v>
      </c>
      <c r="D363" s="5" t="s">
        <v>12</v>
      </c>
      <c r="E363" s="6">
        <v>4627</v>
      </c>
      <c r="F363" s="5">
        <v>2024</v>
      </c>
    </row>
    <row r="364" spans="1:6" x14ac:dyDescent="0.25">
      <c r="A364" s="5" t="s">
        <v>687</v>
      </c>
      <c r="B364" s="5" t="s">
        <v>213</v>
      </c>
      <c r="C364" s="12">
        <v>45333</v>
      </c>
      <c r="D364" s="5" t="s">
        <v>330</v>
      </c>
      <c r="E364" s="6">
        <v>14583</v>
      </c>
      <c r="F364" s="5">
        <v>2024</v>
      </c>
    </row>
    <row r="365" spans="1:6" x14ac:dyDescent="0.25">
      <c r="A365" s="5" t="s">
        <v>688</v>
      </c>
      <c r="B365" s="5" t="s">
        <v>213</v>
      </c>
      <c r="C365" s="12">
        <v>45315</v>
      </c>
      <c r="D365" s="5" t="s">
        <v>330</v>
      </c>
      <c r="E365" s="6">
        <v>6247</v>
      </c>
      <c r="F365" s="5">
        <v>2024</v>
      </c>
    </row>
    <row r="366" spans="1:6" x14ac:dyDescent="0.25">
      <c r="A366" s="5" t="s">
        <v>689</v>
      </c>
      <c r="B366" s="5" t="s">
        <v>213</v>
      </c>
      <c r="C366" s="12">
        <v>45333</v>
      </c>
      <c r="D366" s="5" t="s">
        <v>330</v>
      </c>
      <c r="E366" s="6">
        <v>2419</v>
      </c>
      <c r="F366" s="5">
        <v>2024</v>
      </c>
    </row>
    <row r="367" spans="1:6" x14ac:dyDescent="0.25">
      <c r="A367" s="5" t="s">
        <v>690</v>
      </c>
      <c r="B367" s="5" t="s">
        <v>216</v>
      </c>
      <c r="C367" s="12">
        <v>45461</v>
      </c>
      <c r="D367" s="5" t="s">
        <v>324</v>
      </c>
      <c r="E367" s="6">
        <v>36039</v>
      </c>
      <c r="F367" s="5">
        <v>2024</v>
      </c>
    </row>
    <row r="368" spans="1:6" x14ac:dyDescent="0.25">
      <c r="A368" s="5" t="s">
        <v>691</v>
      </c>
      <c r="B368" s="5" t="s">
        <v>216</v>
      </c>
      <c r="C368" s="12">
        <v>45452</v>
      </c>
      <c r="D368" s="5" t="s">
        <v>324</v>
      </c>
      <c r="E368" s="6">
        <v>10309</v>
      </c>
      <c r="F368" s="5">
        <v>2024</v>
      </c>
    </row>
    <row r="369" spans="1:6" x14ac:dyDescent="0.25">
      <c r="A369" s="5" t="s">
        <v>692</v>
      </c>
      <c r="B369" s="5" t="s">
        <v>216</v>
      </c>
      <c r="C369" s="12">
        <v>45459</v>
      </c>
      <c r="D369" s="5" t="s">
        <v>324</v>
      </c>
      <c r="E369" s="6">
        <v>5311</v>
      </c>
      <c r="F369" s="5">
        <v>2024</v>
      </c>
    </row>
    <row r="370" spans="1:6" x14ac:dyDescent="0.25">
      <c r="A370" s="5" t="s">
        <v>693</v>
      </c>
      <c r="B370" s="5" t="s">
        <v>216</v>
      </c>
      <c r="C370" s="12">
        <v>45442</v>
      </c>
      <c r="D370" s="5" t="s">
        <v>324</v>
      </c>
      <c r="E370" s="6">
        <v>22789</v>
      </c>
      <c r="F370" s="5">
        <v>2024</v>
      </c>
    </row>
    <row r="371" spans="1:6" x14ac:dyDescent="0.25">
      <c r="A371" s="5" t="s">
        <v>694</v>
      </c>
      <c r="B371" s="5" t="s">
        <v>216</v>
      </c>
      <c r="C371" s="12">
        <v>45560</v>
      </c>
      <c r="D371" s="5" t="s">
        <v>12</v>
      </c>
      <c r="E371" s="6">
        <v>30373</v>
      </c>
      <c r="F371" s="5">
        <v>2024</v>
      </c>
    </row>
    <row r="372" spans="1:6" x14ac:dyDescent="0.25">
      <c r="A372" s="5" t="s">
        <v>695</v>
      </c>
      <c r="B372" s="5" t="s">
        <v>216</v>
      </c>
      <c r="C372" s="12">
        <v>45439</v>
      </c>
      <c r="D372" s="5" t="s">
        <v>330</v>
      </c>
      <c r="E372" s="6">
        <v>19089</v>
      </c>
      <c r="F372" s="5">
        <v>2024</v>
      </c>
    </row>
    <row r="373" spans="1:6" x14ac:dyDescent="0.25">
      <c r="A373" s="5" t="s">
        <v>696</v>
      </c>
      <c r="B373" s="5" t="s">
        <v>216</v>
      </c>
      <c r="C373" s="12">
        <v>45542</v>
      </c>
      <c r="D373" s="5" t="s">
        <v>330</v>
      </c>
      <c r="E373" s="6">
        <v>13789</v>
      </c>
      <c r="F373" s="5">
        <v>2024</v>
      </c>
    </row>
    <row r="374" spans="1:6" x14ac:dyDescent="0.25">
      <c r="A374" s="5" t="s">
        <v>697</v>
      </c>
      <c r="B374" s="5" t="s">
        <v>216</v>
      </c>
      <c r="C374" s="12">
        <v>45464</v>
      </c>
      <c r="D374" s="5" t="s">
        <v>330</v>
      </c>
      <c r="E374" s="6">
        <v>9862</v>
      </c>
      <c r="F374" s="5">
        <v>2024</v>
      </c>
    </row>
    <row r="375" spans="1:6" x14ac:dyDescent="0.25">
      <c r="A375" s="5" t="s">
        <v>698</v>
      </c>
      <c r="B375" s="5" t="s">
        <v>216</v>
      </c>
      <c r="C375" s="12">
        <v>45490</v>
      </c>
      <c r="D375" s="5" t="s">
        <v>330</v>
      </c>
      <c r="E375" s="6">
        <v>6086</v>
      </c>
      <c r="F375" s="5">
        <v>2024</v>
      </c>
    </row>
    <row r="376" spans="1:6" x14ac:dyDescent="0.25">
      <c r="A376" s="5" t="s">
        <v>699</v>
      </c>
      <c r="B376" s="5" t="s">
        <v>219</v>
      </c>
      <c r="C376" s="12">
        <v>45826</v>
      </c>
      <c r="D376" s="5" t="s">
        <v>324</v>
      </c>
      <c r="E376" s="6">
        <v>14592</v>
      </c>
      <c r="F376" s="5">
        <v>2025</v>
      </c>
    </row>
    <row r="377" spans="1:6" x14ac:dyDescent="0.25">
      <c r="A377" s="5" t="s">
        <v>700</v>
      </c>
      <c r="B377" s="5" t="s">
        <v>219</v>
      </c>
      <c r="C377" s="12">
        <v>45772</v>
      </c>
      <c r="D377" s="5" t="s">
        <v>324</v>
      </c>
      <c r="E377" s="6">
        <v>56667</v>
      </c>
      <c r="F377" s="5">
        <v>2025</v>
      </c>
    </row>
    <row r="378" spans="1:6" x14ac:dyDescent="0.25">
      <c r="A378" s="5" t="s">
        <v>701</v>
      </c>
      <c r="B378" s="5" t="s">
        <v>219</v>
      </c>
      <c r="C378" s="12">
        <v>45767</v>
      </c>
      <c r="D378" s="5" t="s">
        <v>324</v>
      </c>
      <c r="E378" s="6">
        <v>21341</v>
      </c>
      <c r="F378" s="5">
        <v>2025</v>
      </c>
    </row>
    <row r="379" spans="1:6" x14ac:dyDescent="0.25">
      <c r="A379" s="5" t="s">
        <v>702</v>
      </c>
      <c r="B379" s="5" t="s">
        <v>219</v>
      </c>
      <c r="C379" s="12">
        <v>45830</v>
      </c>
      <c r="D379" s="5" t="s">
        <v>324</v>
      </c>
      <c r="E379" s="6">
        <v>26476</v>
      </c>
      <c r="F379" s="5">
        <v>2025</v>
      </c>
    </row>
    <row r="380" spans="1:6" x14ac:dyDescent="0.25">
      <c r="A380" s="5" t="s">
        <v>703</v>
      </c>
      <c r="B380" s="5" t="s">
        <v>219</v>
      </c>
      <c r="C380" s="12">
        <v>45901</v>
      </c>
      <c r="D380" s="5" t="s">
        <v>12</v>
      </c>
      <c r="E380" s="6">
        <v>10751</v>
      </c>
      <c r="F380" s="5">
        <v>2025</v>
      </c>
    </row>
    <row r="381" spans="1:6" x14ac:dyDescent="0.25">
      <c r="A381" s="5" t="s">
        <v>704</v>
      </c>
      <c r="B381" s="5" t="s">
        <v>219</v>
      </c>
      <c r="C381" s="12">
        <v>45855</v>
      </c>
      <c r="D381" s="5" t="s">
        <v>12</v>
      </c>
      <c r="E381" s="6">
        <v>49137</v>
      </c>
      <c r="F381" s="5">
        <v>2025</v>
      </c>
    </row>
    <row r="382" spans="1:6" x14ac:dyDescent="0.25">
      <c r="A382" s="5" t="s">
        <v>705</v>
      </c>
      <c r="B382" s="5" t="s">
        <v>219</v>
      </c>
      <c r="C382" s="12">
        <v>45928</v>
      </c>
      <c r="D382" s="5" t="s">
        <v>330</v>
      </c>
      <c r="E382" s="6">
        <v>14504</v>
      </c>
      <c r="F382" s="5">
        <v>2025</v>
      </c>
    </row>
    <row r="383" spans="1:6" x14ac:dyDescent="0.25">
      <c r="A383" s="5" t="s">
        <v>706</v>
      </c>
      <c r="B383" s="5" t="s">
        <v>219</v>
      </c>
      <c r="C383" s="12">
        <v>45834</v>
      </c>
      <c r="D383" s="5" t="s">
        <v>330</v>
      </c>
      <c r="E383" s="6">
        <v>23247</v>
      </c>
      <c r="F383" s="5">
        <v>2025</v>
      </c>
    </row>
    <row r="384" spans="1:6" x14ac:dyDescent="0.25">
      <c r="A384" s="5" t="s">
        <v>707</v>
      </c>
      <c r="B384" s="5" t="s">
        <v>219</v>
      </c>
      <c r="C384" s="12">
        <v>45903</v>
      </c>
      <c r="D384" s="5" t="s">
        <v>330</v>
      </c>
      <c r="E384" s="6">
        <v>33847</v>
      </c>
      <c r="F384" s="5">
        <v>2025</v>
      </c>
    </row>
    <row r="385" spans="1:6" x14ac:dyDescent="0.25">
      <c r="A385" s="5" t="s">
        <v>708</v>
      </c>
      <c r="B385" s="5" t="s">
        <v>219</v>
      </c>
      <c r="C385" s="12">
        <v>45937</v>
      </c>
      <c r="D385" s="5" t="s">
        <v>330</v>
      </c>
      <c r="E385" s="6">
        <v>9380</v>
      </c>
      <c r="F385" s="5">
        <v>2025</v>
      </c>
    </row>
    <row r="386" spans="1:6" x14ac:dyDescent="0.25">
      <c r="A386" s="5" t="s">
        <v>709</v>
      </c>
      <c r="B386" s="5" t="s">
        <v>221</v>
      </c>
      <c r="C386" s="12">
        <v>45992</v>
      </c>
      <c r="D386" s="5" t="s">
        <v>324</v>
      </c>
      <c r="E386" s="6">
        <v>37719</v>
      </c>
      <c r="F386" s="5">
        <v>2025</v>
      </c>
    </row>
    <row r="387" spans="1:6" x14ac:dyDescent="0.25">
      <c r="A387" s="5" t="s">
        <v>710</v>
      </c>
      <c r="B387" s="5" t="s">
        <v>221</v>
      </c>
      <c r="C387" s="12">
        <v>46016</v>
      </c>
      <c r="D387" s="5" t="s">
        <v>324</v>
      </c>
      <c r="E387" s="6">
        <v>31271</v>
      </c>
      <c r="F387" s="5">
        <v>2025</v>
      </c>
    </row>
    <row r="388" spans="1:6" x14ac:dyDescent="0.25">
      <c r="A388" s="5" t="s">
        <v>711</v>
      </c>
      <c r="B388" s="5" t="s">
        <v>221</v>
      </c>
      <c r="C388" s="12">
        <v>46008</v>
      </c>
      <c r="D388" s="5" t="s">
        <v>12</v>
      </c>
      <c r="E388" s="6">
        <v>10446</v>
      </c>
      <c r="F388" s="5">
        <v>2025</v>
      </c>
    </row>
    <row r="389" spans="1:6" x14ac:dyDescent="0.25">
      <c r="A389" s="5" t="s">
        <v>712</v>
      </c>
      <c r="B389" s="5" t="s">
        <v>221</v>
      </c>
      <c r="C389" s="12">
        <v>45994</v>
      </c>
      <c r="D389" s="5" t="s">
        <v>12</v>
      </c>
      <c r="E389" s="6">
        <v>9825</v>
      </c>
      <c r="F389" s="5">
        <v>2025</v>
      </c>
    </row>
    <row r="390" spans="1:6" x14ac:dyDescent="0.25">
      <c r="A390" s="5" t="s">
        <v>713</v>
      </c>
      <c r="B390" s="5" t="s">
        <v>221</v>
      </c>
      <c r="C390" s="12">
        <v>46022</v>
      </c>
      <c r="D390" s="5" t="s">
        <v>12</v>
      </c>
      <c r="E390" s="6">
        <v>9467</v>
      </c>
      <c r="F390" s="5">
        <v>2025</v>
      </c>
    </row>
    <row r="391" spans="1:6" x14ac:dyDescent="0.25">
      <c r="A391" s="5" t="s">
        <v>714</v>
      </c>
      <c r="B391" s="5" t="s">
        <v>221</v>
      </c>
      <c r="C391" s="12">
        <v>46009</v>
      </c>
      <c r="D391" s="5" t="s">
        <v>330</v>
      </c>
      <c r="E391" s="6">
        <v>8862</v>
      </c>
      <c r="F391" s="5">
        <v>2025</v>
      </c>
    </row>
    <row r="392" spans="1:6" x14ac:dyDescent="0.25">
      <c r="A392" s="5" t="s">
        <v>715</v>
      </c>
      <c r="B392" s="5" t="s">
        <v>221</v>
      </c>
      <c r="C392" s="12">
        <v>46022</v>
      </c>
      <c r="D392" s="5" t="s">
        <v>330</v>
      </c>
      <c r="E392" s="6">
        <v>13955</v>
      </c>
      <c r="F392" s="5">
        <v>2025</v>
      </c>
    </row>
    <row r="393" spans="1:6" x14ac:dyDescent="0.25">
      <c r="A393" s="5" t="s">
        <v>716</v>
      </c>
      <c r="B393" s="5" t="s">
        <v>221</v>
      </c>
      <c r="C393" s="12">
        <v>45971</v>
      </c>
      <c r="D393" s="5" t="s">
        <v>330</v>
      </c>
      <c r="E393" s="6">
        <v>7308</v>
      </c>
      <c r="F393" s="5">
        <v>2025</v>
      </c>
    </row>
    <row r="394" spans="1:6" x14ac:dyDescent="0.25">
      <c r="A394" s="5" t="s">
        <v>717</v>
      </c>
      <c r="B394" s="5" t="s">
        <v>221</v>
      </c>
      <c r="C394" s="12">
        <v>46022</v>
      </c>
      <c r="D394" s="5" t="s">
        <v>330</v>
      </c>
      <c r="E394" s="6">
        <v>12495</v>
      </c>
      <c r="F394" s="5">
        <v>2025</v>
      </c>
    </row>
    <row r="395" spans="1:6" x14ac:dyDescent="0.25">
      <c r="A395" s="5" t="s">
        <v>718</v>
      </c>
      <c r="B395" s="5" t="s">
        <v>226</v>
      </c>
      <c r="C395" s="12">
        <v>45902</v>
      </c>
      <c r="D395" s="5" t="s">
        <v>324</v>
      </c>
      <c r="E395" s="6">
        <v>10263</v>
      </c>
      <c r="F395" s="5">
        <v>2025</v>
      </c>
    </row>
    <row r="396" spans="1:6" x14ac:dyDescent="0.25">
      <c r="A396" s="5" t="s">
        <v>719</v>
      </c>
      <c r="B396" s="5" t="s">
        <v>226</v>
      </c>
      <c r="C396" s="12">
        <v>45901</v>
      </c>
      <c r="D396" s="5" t="s">
        <v>324</v>
      </c>
      <c r="E396" s="6">
        <v>13513</v>
      </c>
      <c r="F396" s="5">
        <v>2025</v>
      </c>
    </row>
    <row r="397" spans="1:6" x14ac:dyDescent="0.25">
      <c r="A397" s="5" t="s">
        <v>720</v>
      </c>
      <c r="B397" s="5" t="s">
        <v>226</v>
      </c>
      <c r="C397" s="12">
        <v>45869</v>
      </c>
      <c r="D397" s="5" t="s">
        <v>324</v>
      </c>
      <c r="E397" s="6">
        <v>7522</v>
      </c>
      <c r="F397" s="5">
        <v>2025</v>
      </c>
    </row>
    <row r="398" spans="1:6" x14ac:dyDescent="0.25">
      <c r="A398" s="5" t="s">
        <v>721</v>
      </c>
      <c r="B398" s="5" t="s">
        <v>226</v>
      </c>
      <c r="C398" s="12">
        <v>45905</v>
      </c>
      <c r="D398" s="5" t="s">
        <v>12</v>
      </c>
      <c r="E398" s="6">
        <v>11524</v>
      </c>
      <c r="F398" s="5">
        <v>2025</v>
      </c>
    </row>
    <row r="399" spans="1:6" x14ac:dyDescent="0.25">
      <c r="A399" s="5" t="s">
        <v>722</v>
      </c>
      <c r="B399" s="5" t="s">
        <v>226</v>
      </c>
      <c r="C399" s="12">
        <v>45957</v>
      </c>
      <c r="D399" s="5" t="s">
        <v>12</v>
      </c>
      <c r="E399" s="6">
        <v>1967</v>
      </c>
      <c r="F399" s="5">
        <v>2025</v>
      </c>
    </row>
    <row r="400" spans="1:6" x14ac:dyDescent="0.25">
      <c r="A400" s="5" t="s">
        <v>723</v>
      </c>
      <c r="B400" s="5" t="s">
        <v>226</v>
      </c>
      <c r="C400" s="12">
        <v>45901</v>
      </c>
      <c r="D400" s="5" t="s">
        <v>330</v>
      </c>
      <c r="E400" s="6">
        <v>11463</v>
      </c>
      <c r="F400" s="5">
        <v>2025</v>
      </c>
    </row>
    <row r="401" spans="1:6" x14ac:dyDescent="0.25">
      <c r="A401" s="5" t="s">
        <v>724</v>
      </c>
      <c r="B401" s="5" t="s">
        <v>226</v>
      </c>
      <c r="C401" s="12">
        <v>45896</v>
      </c>
      <c r="D401" s="5" t="s">
        <v>330</v>
      </c>
      <c r="E401" s="6">
        <v>3011</v>
      </c>
      <c r="F401" s="5">
        <v>2025</v>
      </c>
    </row>
    <row r="402" spans="1:6" x14ac:dyDescent="0.25">
      <c r="A402" s="5" t="s">
        <v>725</v>
      </c>
      <c r="B402" s="5" t="s">
        <v>226</v>
      </c>
      <c r="C402" s="12">
        <v>45864</v>
      </c>
      <c r="D402" s="5" t="s">
        <v>330</v>
      </c>
      <c r="E402" s="6">
        <v>3444</v>
      </c>
      <c r="F402" s="5">
        <v>2025</v>
      </c>
    </row>
    <row r="403" spans="1:6" x14ac:dyDescent="0.25">
      <c r="A403" s="5" t="s">
        <v>726</v>
      </c>
      <c r="B403" s="5" t="s">
        <v>226</v>
      </c>
      <c r="C403" s="12">
        <v>45867</v>
      </c>
      <c r="D403" s="5" t="s">
        <v>330</v>
      </c>
      <c r="E403" s="6">
        <v>1417</v>
      </c>
      <c r="F403" s="5">
        <v>2025</v>
      </c>
    </row>
    <row r="404" spans="1:6" x14ac:dyDescent="0.25">
      <c r="A404" s="5" t="s">
        <v>727</v>
      </c>
      <c r="B404" s="5" t="s">
        <v>229</v>
      </c>
      <c r="C404" s="12">
        <v>45982</v>
      </c>
      <c r="D404" s="5" t="s">
        <v>324</v>
      </c>
      <c r="E404" s="6">
        <v>50460</v>
      </c>
      <c r="F404" s="5">
        <v>2025</v>
      </c>
    </row>
    <row r="405" spans="1:6" x14ac:dyDescent="0.25">
      <c r="A405" s="5" t="s">
        <v>728</v>
      </c>
      <c r="B405" s="5" t="s">
        <v>229</v>
      </c>
      <c r="C405" s="12">
        <v>46022</v>
      </c>
      <c r="D405" s="5" t="s">
        <v>324</v>
      </c>
      <c r="E405" s="6">
        <v>8134</v>
      </c>
      <c r="F405" s="5">
        <v>2025</v>
      </c>
    </row>
    <row r="406" spans="1:6" x14ac:dyDescent="0.25">
      <c r="A406" s="5" t="s">
        <v>729</v>
      </c>
      <c r="B406" s="5" t="s">
        <v>229</v>
      </c>
      <c r="C406" s="12">
        <v>46022</v>
      </c>
      <c r="D406" s="5" t="s">
        <v>324</v>
      </c>
      <c r="E406" s="6">
        <v>13205</v>
      </c>
      <c r="F406" s="5">
        <v>2025</v>
      </c>
    </row>
    <row r="407" spans="1:6" x14ac:dyDescent="0.25">
      <c r="A407" s="5" t="s">
        <v>730</v>
      </c>
      <c r="B407" s="5" t="s">
        <v>229</v>
      </c>
      <c r="C407" s="12">
        <v>45998</v>
      </c>
      <c r="D407" s="5" t="s">
        <v>324</v>
      </c>
      <c r="E407" s="6">
        <v>18275</v>
      </c>
      <c r="F407" s="5">
        <v>2025</v>
      </c>
    </row>
    <row r="408" spans="1:6" x14ac:dyDescent="0.25">
      <c r="A408" s="5" t="s">
        <v>731</v>
      </c>
      <c r="B408" s="5" t="s">
        <v>229</v>
      </c>
      <c r="C408" s="12">
        <v>46022</v>
      </c>
      <c r="D408" s="5" t="s">
        <v>12</v>
      </c>
      <c r="E408" s="6">
        <v>45302</v>
      </c>
      <c r="F408" s="5">
        <v>2025</v>
      </c>
    </row>
    <row r="409" spans="1:6" x14ac:dyDescent="0.25">
      <c r="A409" s="5" t="s">
        <v>732</v>
      </c>
      <c r="B409" s="5" t="s">
        <v>229</v>
      </c>
      <c r="C409" s="12">
        <v>46022</v>
      </c>
      <c r="D409" s="5" t="s">
        <v>330</v>
      </c>
      <c r="E409" s="6">
        <v>11554</v>
      </c>
      <c r="F409" s="5">
        <v>2025</v>
      </c>
    </row>
    <row r="410" spans="1:6" x14ac:dyDescent="0.25">
      <c r="A410" s="5" t="s">
        <v>733</v>
      </c>
      <c r="B410" s="5" t="s">
        <v>229</v>
      </c>
      <c r="C410" s="12">
        <v>46022</v>
      </c>
      <c r="D410" s="5" t="s">
        <v>330</v>
      </c>
      <c r="E410" s="6">
        <v>26258</v>
      </c>
      <c r="F410" s="5">
        <v>2025</v>
      </c>
    </row>
    <row r="411" spans="1:6" x14ac:dyDescent="0.25">
      <c r="A411" s="5" t="s">
        <v>734</v>
      </c>
      <c r="B411" s="5" t="s">
        <v>229</v>
      </c>
      <c r="C411" s="12">
        <v>46022</v>
      </c>
      <c r="D411" s="5" t="s">
        <v>330</v>
      </c>
      <c r="E411" s="6">
        <v>17776</v>
      </c>
      <c r="F411" s="5">
        <v>2025</v>
      </c>
    </row>
    <row r="412" spans="1:6" x14ac:dyDescent="0.25">
      <c r="A412" s="5" t="s">
        <v>735</v>
      </c>
      <c r="B412" s="5" t="s">
        <v>229</v>
      </c>
      <c r="C412" s="12">
        <v>46022</v>
      </c>
      <c r="D412" s="5" t="s">
        <v>330</v>
      </c>
      <c r="E412" s="6">
        <v>5666</v>
      </c>
      <c r="F412" s="5">
        <v>2025</v>
      </c>
    </row>
    <row r="413" spans="1:6" x14ac:dyDescent="0.25">
      <c r="A413" s="5" t="s">
        <v>736</v>
      </c>
      <c r="B413" s="5" t="s">
        <v>232</v>
      </c>
      <c r="C413" s="12">
        <v>45834</v>
      </c>
      <c r="D413" s="5" t="s">
        <v>324</v>
      </c>
      <c r="E413" s="6">
        <v>2416</v>
      </c>
      <c r="F413" s="5">
        <v>2025</v>
      </c>
    </row>
    <row r="414" spans="1:6" x14ac:dyDescent="0.25">
      <c r="A414" s="5" t="s">
        <v>737</v>
      </c>
      <c r="B414" s="5" t="s">
        <v>232</v>
      </c>
      <c r="C414" s="12">
        <v>45799</v>
      </c>
      <c r="D414" s="5" t="s">
        <v>324</v>
      </c>
      <c r="E414" s="6">
        <v>21978</v>
      </c>
      <c r="F414" s="5">
        <v>2025</v>
      </c>
    </row>
    <row r="415" spans="1:6" x14ac:dyDescent="0.25">
      <c r="A415" s="5" t="s">
        <v>738</v>
      </c>
      <c r="B415" s="5" t="s">
        <v>232</v>
      </c>
      <c r="C415" s="12">
        <v>45802</v>
      </c>
      <c r="D415" s="5" t="s">
        <v>324</v>
      </c>
      <c r="E415" s="6">
        <v>5396</v>
      </c>
      <c r="F415" s="5">
        <v>2025</v>
      </c>
    </row>
    <row r="416" spans="1:6" x14ac:dyDescent="0.25">
      <c r="A416" s="5" t="s">
        <v>739</v>
      </c>
      <c r="B416" s="5" t="s">
        <v>232</v>
      </c>
      <c r="C416" s="12">
        <v>45806</v>
      </c>
      <c r="D416" s="5" t="s">
        <v>324</v>
      </c>
      <c r="E416" s="6">
        <v>3815</v>
      </c>
      <c r="F416" s="5">
        <v>2025</v>
      </c>
    </row>
    <row r="417" spans="1:6" x14ac:dyDescent="0.25">
      <c r="A417" s="5" t="s">
        <v>740</v>
      </c>
      <c r="B417" s="5" t="s">
        <v>232</v>
      </c>
      <c r="C417" s="12">
        <v>45822</v>
      </c>
      <c r="D417" s="5" t="s">
        <v>12</v>
      </c>
      <c r="E417" s="6">
        <v>7405</v>
      </c>
      <c r="F417" s="5">
        <v>2025</v>
      </c>
    </row>
    <row r="418" spans="1:6" x14ac:dyDescent="0.25">
      <c r="A418" s="5" t="s">
        <v>741</v>
      </c>
      <c r="B418" s="5" t="s">
        <v>232</v>
      </c>
      <c r="C418" s="12">
        <v>45873</v>
      </c>
      <c r="D418" s="5" t="s">
        <v>12</v>
      </c>
      <c r="E418" s="6">
        <v>7080</v>
      </c>
      <c r="F418" s="5">
        <v>2025</v>
      </c>
    </row>
    <row r="419" spans="1:6" x14ac:dyDescent="0.25">
      <c r="A419" s="5" t="s">
        <v>742</v>
      </c>
      <c r="B419" s="5" t="s">
        <v>232</v>
      </c>
      <c r="C419" s="12">
        <v>45857</v>
      </c>
      <c r="D419" s="5" t="s">
        <v>330</v>
      </c>
      <c r="E419" s="6">
        <v>9050</v>
      </c>
      <c r="F419" s="5">
        <v>2025</v>
      </c>
    </row>
    <row r="420" spans="1:6" x14ac:dyDescent="0.25">
      <c r="A420" s="5" t="s">
        <v>743</v>
      </c>
      <c r="B420" s="5" t="s">
        <v>232</v>
      </c>
      <c r="C420" s="12">
        <v>45872</v>
      </c>
      <c r="D420" s="5" t="s">
        <v>330</v>
      </c>
      <c r="E420" s="6">
        <v>7093</v>
      </c>
      <c r="F420" s="5">
        <v>2025</v>
      </c>
    </row>
    <row r="421" spans="1:6" x14ac:dyDescent="0.25">
      <c r="A421" s="5" t="s">
        <v>744</v>
      </c>
      <c r="B421" s="5" t="s">
        <v>232</v>
      </c>
      <c r="C421" s="12">
        <v>45808</v>
      </c>
      <c r="D421" s="5" t="s">
        <v>330</v>
      </c>
      <c r="E421" s="6">
        <v>4619</v>
      </c>
      <c r="F421" s="5">
        <v>2025</v>
      </c>
    </row>
    <row r="422" spans="1:6" x14ac:dyDescent="0.25">
      <c r="A422" s="5" t="s">
        <v>745</v>
      </c>
      <c r="B422" s="5" t="s">
        <v>234</v>
      </c>
      <c r="C422" s="12">
        <v>45938</v>
      </c>
      <c r="D422" s="5" t="s">
        <v>324</v>
      </c>
      <c r="E422" s="6">
        <v>24345</v>
      </c>
      <c r="F422" s="5">
        <v>2025</v>
      </c>
    </row>
    <row r="423" spans="1:6" x14ac:dyDescent="0.25">
      <c r="A423" s="5" t="s">
        <v>746</v>
      </c>
      <c r="B423" s="5" t="s">
        <v>234</v>
      </c>
      <c r="C423" s="12">
        <v>45922</v>
      </c>
      <c r="D423" s="5" t="s">
        <v>324</v>
      </c>
      <c r="E423" s="6">
        <v>3434</v>
      </c>
      <c r="F423" s="5">
        <v>2025</v>
      </c>
    </row>
    <row r="424" spans="1:6" x14ac:dyDescent="0.25">
      <c r="A424" s="5" t="s">
        <v>747</v>
      </c>
      <c r="B424" s="5" t="s">
        <v>234</v>
      </c>
      <c r="C424" s="12">
        <v>45930</v>
      </c>
      <c r="D424" s="5" t="s">
        <v>324</v>
      </c>
      <c r="E424" s="6">
        <v>3433</v>
      </c>
      <c r="F424" s="5">
        <v>2025</v>
      </c>
    </row>
    <row r="425" spans="1:6" x14ac:dyDescent="0.25">
      <c r="A425" s="5" t="s">
        <v>748</v>
      </c>
      <c r="B425" s="5" t="s">
        <v>234</v>
      </c>
      <c r="C425" s="12">
        <v>45933</v>
      </c>
      <c r="D425" s="5" t="s">
        <v>324</v>
      </c>
      <c r="E425" s="6">
        <v>17499</v>
      </c>
      <c r="F425" s="5">
        <v>2025</v>
      </c>
    </row>
    <row r="426" spans="1:6" x14ac:dyDescent="0.25">
      <c r="A426" s="5" t="s">
        <v>749</v>
      </c>
      <c r="B426" s="5" t="s">
        <v>234</v>
      </c>
      <c r="C426" s="12">
        <v>45943</v>
      </c>
      <c r="D426" s="5" t="s">
        <v>12</v>
      </c>
      <c r="E426" s="6">
        <v>5212</v>
      </c>
      <c r="F426" s="5">
        <v>2025</v>
      </c>
    </row>
    <row r="427" spans="1:6" x14ac:dyDescent="0.25">
      <c r="A427" s="5" t="s">
        <v>750</v>
      </c>
      <c r="B427" s="5" t="s">
        <v>234</v>
      </c>
      <c r="C427" s="12">
        <v>45971</v>
      </c>
      <c r="D427" s="5" t="s">
        <v>12</v>
      </c>
      <c r="E427" s="6">
        <v>15785</v>
      </c>
      <c r="F427" s="5">
        <v>2025</v>
      </c>
    </row>
    <row r="428" spans="1:6" x14ac:dyDescent="0.25">
      <c r="A428" s="5" t="s">
        <v>751</v>
      </c>
      <c r="B428" s="5" t="s">
        <v>234</v>
      </c>
      <c r="C428" s="12">
        <v>45944</v>
      </c>
      <c r="D428" s="5" t="s">
        <v>330</v>
      </c>
      <c r="E428" s="6">
        <v>7489</v>
      </c>
      <c r="F428" s="5">
        <v>2025</v>
      </c>
    </row>
    <row r="429" spans="1:6" x14ac:dyDescent="0.25">
      <c r="A429" s="5" t="s">
        <v>752</v>
      </c>
      <c r="B429" s="5" t="s">
        <v>234</v>
      </c>
      <c r="C429" s="12">
        <v>45937</v>
      </c>
      <c r="D429" s="5" t="s">
        <v>330</v>
      </c>
      <c r="E429" s="6">
        <v>11528</v>
      </c>
      <c r="F429" s="5">
        <v>2025</v>
      </c>
    </row>
    <row r="430" spans="1:6" x14ac:dyDescent="0.25">
      <c r="A430" s="5" t="s">
        <v>753</v>
      </c>
      <c r="B430" s="5" t="s">
        <v>234</v>
      </c>
      <c r="C430" s="12">
        <v>45966</v>
      </c>
      <c r="D430" s="5" t="s">
        <v>330</v>
      </c>
      <c r="E430" s="6">
        <v>11075</v>
      </c>
      <c r="F430" s="5">
        <v>2025</v>
      </c>
    </row>
    <row r="431" spans="1:6" x14ac:dyDescent="0.25">
      <c r="A431" s="5" t="s">
        <v>754</v>
      </c>
      <c r="B431" s="5" t="s">
        <v>237</v>
      </c>
      <c r="C431" s="12">
        <v>46017</v>
      </c>
      <c r="D431" s="5" t="s">
        <v>324</v>
      </c>
      <c r="E431" s="6">
        <v>54523</v>
      </c>
      <c r="F431" s="5">
        <v>2025</v>
      </c>
    </row>
    <row r="432" spans="1:6" x14ac:dyDescent="0.25">
      <c r="A432" s="5" t="s">
        <v>755</v>
      </c>
      <c r="B432" s="5" t="s">
        <v>237</v>
      </c>
      <c r="C432" s="12">
        <v>46022</v>
      </c>
      <c r="D432" s="5" t="s">
        <v>324</v>
      </c>
      <c r="E432" s="6">
        <v>72721</v>
      </c>
      <c r="F432" s="5">
        <v>2025</v>
      </c>
    </row>
    <row r="433" spans="1:6" x14ac:dyDescent="0.25">
      <c r="A433" s="5" t="s">
        <v>756</v>
      </c>
      <c r="B433" s="5" t="s">
        <v>237</v>
      </c>
      <c r="C433" s="12">
        <v>46022</v>
      </c>
      <c r="D433" s="5" t="s">
        <v>12</v>
      </c>
      <c r="E433" s="6">
        <v>19801</v>
      </c>
      <c r="F433" s="5">
        <v>2025</v>
      </c>
    </row>
    <row r="434" spans="1:6" x14ac:dyDescent="0.25">
      <c r="A434" s="5" t="s">
        <v>757</v>
      </c>
      <c r="B434" s="5" t="s">
        <v>237</v>
      </c>
      <c r="C434" s="12">
        <v>46022</v>
      </c>
      <c r="D434" s="5" t="s">
        <v>12</v>
      </c>
      <c r="E434" s="6">
        <v>28806</v>
      </c>
      <c r="F434" s="5">
        <v>2025</v>
      </c>
    </row>
    <row r="435" spans="1:6" x14ac:dyDescent="0.25">
      <c r="A435" s="5" t="s">
        <v>758</v>
      </c>
      <c r="B435" s="5" t="s">
        <v>237</v>
      </c>
      <c r="C435" s="12">
        <v>46022</v>
      </c>
      <c r="D435" s="5" t="s">
        <v>12</v>
      </c>
      <c r="E435" s="6">
        <v>6242</v>
      </c>
      <c r="F435" s="5">
        <v>2025</v>
      </c>
    </row>
    <row r="436" spans="1:6" x14ac:dyDescent="0.25">
      <c r="A436" s="5" t="s">
        <v>759</v>
      </c>
      <c r="B436" s="5" t="s">
        <v>237</v>
      </c>
      <c r="C436" s="12">
        <v>46022</v>
      </c>
      <c r="D436" s="5" t="s">
        <v>330</v>
      </c>
      <c r="E436" s="6">
        <v>5747</v>
      </c>
      <c r="F436" s="5">
        <v>2025</v>
      </c>
    </row>
    <row r="437" spans="1:6" x14ac:dyDescent="0.25">
      <c r="A437" s="5" t="s">
        <v>760</v>
      </c>
      <c r="B437" s="5" t="s">
        <v>237</v>
      </c>
      <c r="C437" s="12">
        <v>46003</v>
      </c>
      <c r="D437" s="5" t="s">
        <v>330</v>
      </c>
      <c r="E437" s="6">
        <v>54427</v>
      </c>
      <c r="F437" s="5">
        <v>2025</v>
      </c>
    </row>
    <row r="438" spans="1:6" x14ac:dyDescent="0.25">
      <c r="A438" s="5" t="s">
        <v>761</v>
      </c>
      <c r="B438" s="5" t="s">
        <v>237</v>
      </c>
      <c r="C438" s="12">
        <v>46009</v>
      </c>
      <c r="D438" s="5" t="s">
        <v>330</v>
      </c>
      <c r="E438" s="6">
        <v>11992</v>
      </c>
      <c r="F438" s="5">
        <v>2025</v>
      </c>
    </row>
    <row r="439" spans="1:6" x14ac:dyDescent="0.25">
      <c r="A439" s="5" t="s">
        <v>762</v>
      </c>
      <c r="B439" s="5" t="s">
        <v>237</v>
      </c>
      <c r="C439" s="12">
        <v>46022</v>
      </c>
      <c r="D439" s="5" t="s">
        <v>330</v>
      </c>
      <c r="E439" s="6">
        <v>6439</v>
      </c>
      <c r="F439" s="5">
        <v>2025</v>
      </c>
    </row>
    <row r="440" spans="1:6" x14ac:dyDescent="0.25">
      <c r="A440" s="5" t="s">
        <v>763</v>
      </c>
      <c r="B440" s="5" t="s">
        <v>240</v>
      </c>
      <c r="C440" s="12">
        <v>45938</v>
      </c>
      <c r="D440" s="5" t="s">
        <v>324</v>
      </c>
      <c r="E440" s="6">
        <v>35233</v>
      </c>
      <c r="F440" s="5">
        <v>2025</v>
      </c>
    </row>
    <row r="441" spans="1:6" x14ac:dyDescent="0.25">
      <c r="A441" s="5" t="s">
        <v>764</v>
      </c>
      <c r="B441" s="5" t="s">
        <v>240</v>
      </c>
      <c r="C441" s="12">
        <v>45928</v>
      </c>
      <c r="D441" s="5" t="s">
        <v>324</v>
      </c>
      <c r="E441" s="6">
        <v>53831</v>
      </c>
      <c r="F441" s="5">
        <v>2025</v>
      </c>
    </row>
    <row r="442" spans="1:6" x14ac:dyDescent="0.25">
      <c r="A442" s="5" t="s">
        <v>765</v>
      </c>
      <c r="B442" s="5" t="s">
        <v>240</v>
      </c>
      <c r="C442" s="12">
        <v>46022</v>
      </c>
      <c r="D442" s="5" t="s">
        <v>12</v>
      </c>
      <c r="E442" s="6">
        <v>10037</v>
      </c>
      <c r="F442" s="5">
        <v>2025</v>
      </c>
    </row>
    <row r="443" spans="1:6" x14ac:dyDescent="0.25">
      <c r="A443" s="5" t="s">
        <v>766</v>
      </c>
      <c r="B443" s="5" t="s">
        <v>240</v>
      </c>
      <c r="C443" s="12">
        <v>46022</v>
      </c>
      <c r="D443" s="5" t="s">
        <v>12</v>
      </c>
      <c r="E443" s="6">
        <v>8840</v>
      </c>
      <c r="F443" s="5">
        <v>2025</v>
      </c>
    </row>
    <row r="444" spans="1:6" x14ac:dyDescent="0.25">
      <c r="A444" s="5" t="s">
        <v>767</v>
      </c>
      <c r="B444" s="5" t="s">
        <v>240</v>
      </c>
      <c r="C444" s="12">
        <v>46022</v>
      </c>
      <c r="D444" s="5" t="s">
        <v>12</v>
      </c>
      <c r="E444" s="6">
        <v>19514</v>
      </c>
      <c r="F444" s="5">
        <v>2025</v>
      </c>
    </row>
    <row r="445" spans="1:6" x14ac:dyDescent="0.25">
      <c r="A445" s="5" t="s">
        <v>768</v>
      </c>
      <c r="B445" s="5" t="s">
        <v>240</v>
      </c>
      <c r="C445" s="12">
        <v>45988</v>
      </c>
      <c r="D445" s="5" t="s">
        <v>330</v>
      </c>
      <c r="E445" s="6">
        <v>21771</v>
      </c>
      <c r="F445" s="5">
        <v>2025</v>
      </c>
    </row>
    <row r="446" spans="1:6" x14ac:dyDescent="0.25">
      <c r="A446" s="5" t="s">
        <v>769</v>
      </c>
      <c r="B446" s="5" t="s">
        <v>240</v>
      </c>
      <c r="C446" s="12">
        <v>45926</v>
      </c>
      <c r="D446" s="5" t="s">
        <v>330</v>
      </c>
      <c r="E446" s="6">
        <v>26726</v>
      </c>
      <c r="F446" s="5">
        <v>2025</v>
      </c>
    </row>
    <row r="447" spans="1:6" x14ac:dyDescent="0.25">
      <c r="A447" s="5" t="s">
        <v>770</v>
      </c>
      <c r="B447" s="5" t="s">
        <v>240</v>
      </c>
      <c r="C447" s="12">
        <v>45913</v>
      </c>
      <c r="D447" s="5" t="s">
        <v>330</v>
      </c>
      <c r="E447" s="6">
        <v>6524</v>
      </c>
      <c r="F447" s="5">
        <v>2025</v>
      </c>
    </row>
    <row r="448" spans="1:6" x14ac:dyDescent="0.25">
      <c r="A448" s="5" t="s">
        <v>771</v>
      </c>
      <c r="B448" s="5" t="s">
        <v>243</v>
      </c>
      <c r="C448" s="12">
        <v>45920</v>
      </c>
      <c r="D448" s="5" t="s">
        <v>324</v>
      </c>
      <c r="E448" s="6">
        <v>69675</v>
      </c>
      <c r="F448" s="5">
        <v>2025</v>
      </c>
    </row>
    <row r="449" spans="1:6" x14ac:dyDescent="0.25">
      <c r="A449" s="5" t="s">
        <v>772</v>
      </c>
      <c r="B449" s="5" t="s">
        <v>243</v>
      </c>
      <c r="C449" s="12">
        <v>45954</v>
      </c>
      <c r="D449" s="5" t="s">
        <v>324</v>
      </c>
      <c r="E449" s="6">
        <v>9309</v>
      </c>
      <c r="F449" s="5">
        <v>2025</v>
      </c>
    </row>
    <row r="450" spans="1:6" x14ac:dyDescent="0.25">
      <c r="A450" s="5" t="s">
        <v>773</v>
      </c>
      <c r="B450" s="5" t="s">
        <v>243</v>
      </c>
      <c r="C450" s="12">
        <v>45944</v>
      </c>
      <c r="D450" s="5" t="s">
        <v>324</v>
      </c>
      <c r="E450" s="6">
        <v>14838</v>
      </c>
      <c r="F450" s="5">
        <v>2025</v>
      </c>
    </row>
    <row r="451" spans="1:6" x14ac:dyDescent="0.25">
      <c r="A451" s="5" t="s">
        <v>774</v>
      </c>
      <c r="B451" s="5" t="s">
        <v>243</v>
      </c>
      <c r="C451" s="12">
        <v>45964</v>
      </c>
      <c r="D451" s="5" t="s">
        <v>12</v>
      </c>
      <c r="E451" s="6">
        <v>10498</v>
      </c>
      <c r="F451" s="5">
        <v>2025</v>
      </c>
    </row>
    <row r="452" spans="1:6" x14ac:dyDescent="0.25">
      <c r="A452" s="5" t="s">
        <v>775</v>
      </c>
      <c r="B452" s="5" t="s">
        <v>243</v>
      </c>
      <c r="C452" s="12">
        <v>46022</v>
      </c>
      <c r="D452" s="5" t="s">
        <v>12</v>
      </c>
      <c r="E452" s="6">
        <v>17335</v>
      </c>
      <c r="F452" s="5">
        <v>2025</v>
      </c>
    </row>
    <row r="453" spans="1:6" x14ac:dyDescent="0.25">
      <c r="A453" s="5" t="s">
        <v>776</v>
      </c>
      <c r="B453" s="5" t="s">
        <v>243</v>
      </c>
      <c r="C453" s="12">
        <v>46012</v>
      </c>
      <c r="D453" s="5" t="s">
        <v>12</v>
      </c>
      <c r="E453" s="6">
        <v>12609</v>
      </c>
      <c r="F453" s="5">
        <v>2025</v>
      </c>
    </row>
    <row r="454" spans="1:6" x14ac:dyDescent="0.25">
      <c r="A454" s="5" t="s">
        <v>777</v>
      </c>
      <c r="B454" s="5" t="s">
        <v>243</v>
      </c>
      <c r="C454" s="12">
        <v>45909</v>
      </c>
      <c r="D454" s="5" t="s">
        <v>330</v>
      </c>
      <c r="E454" s="6">
        <v>19060</v>
      </c>
      <c r="F454" s="5">
        <v>2025</v>
      </c>
    </row>
    <row r="455" spans="1:6" x14ac:dyDescent="0.25">
      <c r="A455" s="5" t="s">
        <v>778</v>
      </c>
      <c r="B455" s="5" t="s">
        <v>243</v>
      </c>
      <c r="C455" s="12">
        <v>45955</v>
      </c>
      <c r="D455" s="5" t="s">
        <v>330</v>
      </c>
      <c r="E455" s="6">
        <v>11716</v>
      </c>
      <c r="F455" s="5">
        <v>2025</v>
      </c>
    </row>
    <row r="456" spans="1:6" x14ac:dyDescent="0.25">
      <c r="A456" s="5" t="s">
        <v>779</v>
      </c>
      <c r="B456" s="5" t="s">
        <v>243</v>
      </c>
      <c r="C456" s="12">
        <v>45909</v>
      </c>
      <c r="D456" s="5" t="s">
        <v>330</v>
      </c>
      <c r="E456" s="6">
        <v>27184</v>
      </c>
      <c r="F456" s="5">
        <v>2025</v>
      </c>
    </row>
    <row r="457" spans="1:6" x14ac:dyDescent="0.25">
      <c r="A457" s="5" t="s">
        <v>780</v>
      </c>
      <c r="B457" s="5" t="s">
        <v>248</v>
      </c>
      <c r="C457" s="12">
        <v>45861</v>
      </c>
      <c r="D457" s="5" t="s">
        <v>324</v>
      </c>
      <c r="E457" s="6">
        <v>77919</v>
      </c>
      <c r="F457" s="5">
        <v>2025</v>
      </c>
    </row>
    <row r="458" spans="1:6" x14ac:dyDescent="0.25">
      <c r="A458" s="5" t="s">
        <v>781</v>
      </c>
      <c r="B458" s="5" t="s">
        <v>248</v>
      </c>
      <c r="C458" s="12">
        <v>45805</v>
      </c>
      <c r="D458" s="5" t="s">
        <v>324</v>
      </c>
      <c r="E458" s="6">
        <v>43413</v>
      </c>
      <c r="F458" s="5">
        <v>2025</v>
      </c>
    </row>
    <row r="459" spans="1:6" x14ac:dyDescent="0.25">
      <c r="A459" s="5" t="s">
        <v>782</v>
      </c>
      <c r="B459" s="5" t="s">
        <v>248</v>
      </c>
      <c r="C459" s="12">
        <v>45854</v>
      </c>
      <c r="D459" s="5" t="s">
        <v>12</v>
      </c>
      <c r="E459" s="6">
        <v>9681</v>
      </c>
      <c r="F459" s="5">
        <v>2025</v>
      </c>
    </row>
    <row r="460" spans="1:6" x14ac:dyDescent="0.25">
      <c r="A460" s="5" t="s">
        <v>783</v>
      </c>
      <c r="B460" s="5" t="s">
        <v>248</v>
      </c>
      <c r="C460" s="12">
        <v>45960</v>
      </c>
      <c r="D460" s="5" t="s">
        <v>12</v>
      </c>
      <c r="E460" s="6">
        <v>34296</v>
      </c>
      <c r="F460" s="5">
        <v>2025</v>
      </c>
    </row>
    <row r="461" spans="1:6" x14ac:dyDescent="0.25">
      <c r="A461" s="5" t="s">
        <v>784</v>
      </c>
      <c r="B461" s="5" t="s">
        <v>248</v>
      </c>
      <c r="C461" s="12">
        <v>45907</v>
      </c>
      <c r="D461" s="5" t="s">
        <v>12</v>
      </c>
      <c r="E461" s="6">
        <v>17046</v>
      </c>
      <c r="F461" s="5">
        <v>2025</v>
      </c>
    </row>
    <row r="462" spans="1:6" x14ac:dyDescent="0.25">
      <c r="A462" s="5" t="s">
        <v>785</v>
      </c>
      <c r="B462" s="5" t="s">
        <v>248</v>
      </c>
      <c r="C462" s="12">
        <v>45867</v>
      </c>
      <c r="D462" s="5" t="s">
        <v>330</v>
      </c>
      <c r="E462" s="6">
        <v>10715</v>
      </c>
      <c r="F462" s="5">
        <v>2025</v>
      </c>
    </row>
    <row r="463" spans="1:6" x14ac:dyDescent="0.25">
      <c r="A463" s="5" t="s">
        <v>786</v>
      </c>
      <c r="B463" s="5" t="s">
        <v>248</v>
      </c>
      <c r="C463" s="12">
        <v>45868</v>
      </c>
      <c r="D463" s="5" t="s">
        <v>330</v>
      </c>
      <c r="E463" s="6">
        <v>14119</v>
      </c>
      <c r="F463" s="5">
        <v>2025</v>
      </c>
    </row>
    <row r="464" spans="1:6" x14ac:dyDescent="0.25">
      <c r="A464" s="5" t="s">
        <v>787</v>
      </c>
      <c r="B464" s="5" t="s">
        <v>248</v>
      </c>
      <c r="C464" s="12">
        <v>45907</v>
      </c>
      <c r="D464" s="5" t="s">
        <v>330</v>
      </c>
      <c r="E464" s="6">
        <v>10527</v>
      </c>
      <c r="F464" s="5">
        <v>2025</v>
      </c>
    </row>
    <row r="465" spans="1:6" x14ac:dyDescent="0.25">
      <c r="A465" s="5" t="s">
        <v>788</v>
      </c>
      <c r="B465" s="5" t="s">
        <v>248</v>
      </c>
      <c r="C465" s="12">
        <v>45829</v>
      </c>
      <c r="D465" s="5" t="s">
        <v>330</v>
      </c>
      <c r="E465" s="6">
        <v>35625</v>
      </c>
      <c r="F465" s="5">
        <v>2025</v>
      </c>
    </row>
    <row r="466" spans="1:6" x14ac:dyDescent="0.25">
      <c r="A466" s="5" t="s">
        <v>789</v>
      </c>
      <c r="B466" s="5" t="s">
        <v>248</v>
      </c>
      <c r="C466" s="12">
        <v>45956</v>
      </c>
      <c r="D466" s="5" t="s">
        <v>330</v>
      </c>
      <c r="E466" s="6">
        <v>11525</v>
      </c>
      <c r="F466" s="5">
        <v>2025</v>
      </c>
    </row>
    <row r="467" spans="1:6" x14ac:dyDescent="0.25">
      <c r="A467" s="5" t="s">
        <v>790</v>
      </c>
      <c r="B467" s="5" t="s">
        <v>251</v>
      </c>
      <c r="C467" s="12">
        <v>45975</v>
      </c>
      <c r="D467" s="5" t="s">
        <v>324</v>
      </c>
      <c r="E467" s="6">
        <v>53912</v>
      </c>
      <c r="F467" s="5">
        <v>2025</v>
      </c>
    </row>
    <row r="468" spans="1:6" x14ac:dyDescent="0.25">
      <c r="A468" s="5" t="s">
        <v>791</v>
      </c>
      <c r="B468" s="5" t="s">
        <v>251</v>
      </c>
      <c r="C468" s="12">
        <v>45972</v>
      </c>
      <c r="D468" s="5" t="s">
        <v>324</v>
      </c>
      <c r="E468" s="6">
        <v>10918</v>
      </c>
      <c r="F468" s="5">
        <v>2025</v>
      </c>
    </row>
    <row r="469" spans="1:6" x14ac:dyDescent="0.25">
      <c r="A469" s="5" t="s">
        <v>792</v>
      </c>
      <c r="B469" s="5" t="s">
        <v>251</v>
      </c>
      <c r="C469" s="12">
        <v>45992</v>
      </c>
      <c r="D469" s="5" t="s">
        <v>12</v>
      </c>
      <c r="E469" s="6">
        <v>16380</v>
      </c>
      <c r="F469" s="5">
        <v>2025</v>
      </c>
    </row>
    <row r="470" spans="1:6" x14ac:dyDescent="0.25">
      <c r="A470" s="5" t="s">
        <v>793</v>
      </c>
      <c r="B470" s="5" t="s">
        <v>251</v>
      </c>
      <c r="C470" s="12">
        <v>45989</v>
      </c>
      <c r="D470" s="5" t="s">
        <v>12</v>
      </c>
      <c r="E470" s="6">
        <v>14507</v>
      </c>
      <c r="F470" s="5">
        <v>2025</v>
      </c>
    </row>
    <row r="471" spans="1:6" x14ac:dyDescent="0.25">
      <c r="A471" s="5" t="s">
        <v>794</v>
      </c>
      <c r="B471" s="5" t="s">
        <v>251</v>
      </c>
      <c r="C471" s="12">
        <v>45946</v>
      </c>
      <c r="D471" s="5" t="s">
        <v>330</v>
      </c>
      <c r="E471" s="6">
        <v>8327</v>
      </c>
      <c r="F471" s="5">
        <v>2025</v>
      </c>
    </row>
    <row r="472" spans="1:6" x14ac:dyDescent="0.25">
      <c r="A472" s="5" t="s">
        <v>795</v>
      </c>
      <c r="B472" s="5" t="s">
        <v>251</v>
      </c>
      <c r="C472" s="12">
        <v>45969</v>
      </c>
      <c r="D472" s="5" t="s">
        <v>330</v>
      </c>
      <c r="E472" s="6">
        <v>15869</v>
      </c>
      <c r="F472" s="5">
        <v>2025</v>
      </c>
    </row>
    <row r="473" spans="1:6" x14ac:dyDescent="0.25">
      <c r="A473" s="5" t="s">
        <v>796</v>
      </c>
      <c r="B473" s="5" t="s">
        <v>251</v>
      </c>
      <c r="C473" s="12">
        <v>45983</v>
      </c>
      <c r="D473" s="5" t="s">
        <v>330</v>
      </c>
      <c r="E473" s="6">
        <v>11432</v>
      </c>
      <c r="F473" s="5">
        <v>2025</v>
      </c>
    </row>
    <row r="474" spans="1:6" x14ac:dyDescent="0.25">
      <c r="A474" s="5" t="s">
        <v>797</v>
      </c>
      <c r="B474" s="5" t="s">
        <v>251</v>
      </c>
      <c r="C474" s="12">
        <v>45972</v>
      </c>
      <c r="D474" s="5" t="s">
        <v>330</v>
      </c>
      <c r="E474" s="6">
        <v>3252</v>
      </c>
      <c r="F474" s="5">
        <v>2025</v>
      </c>
    </row>
    <row r="475" spans="1:6" x14ac:dyDescent="0.25">
      <c r="A475" s="5" t="s">
        <v>798</v>
      </c>
      <c r="B475" s="5" t="s">
        <v>251</v>
      </c>
      <c r="C475" s="12">
        <v>45959</v>
      </c>
      <c r="D475" s="5" t="s">
        <v>330</v>
      </c>
      <c r="E475" s="6">
        <v>2440</v>
      </c>
      <c r="F475" s="5">
        <v>2025</v>
      </c>
    </row>
    <row r="476" spans="1:6" x14ac:dyDescent="0.25">
      <c r="A476" s="5" t="s">
        <v>799</v>
      </c>
      <c r="B476" s="5" t="s">
        <v>253</v>
      </c>
      <c r="C476" s="12">
        <v>45838</v>
      </c>
      <c r="D476" s="5" t="s">
        <v>324</v>
      </c>
      <c r="E476" s="6">
        <v>12829</v>
      </c>
      <c r="F476" s="5">
        <v>2025</v>
      </c>
    </row>
    <row r="477" spans="1:6" x14ac:dyDescent="0.25">
      <c r="A477" s="5" t="s">
        <v>800</v>
      </c>
      <c r="B477" s="5" t="s">
        <v>253</v>
      </c>
      <c r="C477" s="12">
        <v>45836</v>
      </c>
      <c r="D477" s="5" t="s">
        <v>324</v>
      </c>
      <c r="E477" s="6">
        <v>44878</v>
      </c>
      <c r="F477" s="5">
        <v>2025</v>
      </c>
    </row>
    <row r="478" spans="1:6" x14ac:dyDescent="0.25">
      <c r="A478" s="5" t="s">
        <v>801</v>
      </c>
      <c r="B478" s="5" t="s">
        <v>253</v>
      </c>
      <c r="C478" s="12">
        <v>45802</v>
      </c>
      <c r="D478" s="5" t="s">
        <v>324</v>
      </c>
      <c r="E478" s="6">
        <v>75357</v>
      </c>
      <c r="F478" s="5">
        <v>2025</v>
      </c>
    </row>
    <row r="479" spans="1:6" x14ac:dyDescent="0.25">
      <c r="A479" s="5" t="s">
        <v>802</v>
      </c>
      <c r="B479" s="5" t="s">
        <v>253</v>
      </c>
      <c r="C479" s="12">
        <v>45963</v>
      </c>
      <c r="D479" s="5" t="s">
        <v>12</v>
      </c>
      <c r="E479" s="6">
        <v>49481</v>
      </c>
      <c r="F479" s="5">
        <v>2025</v>
      </c>
    </row>
    <row r="480" spans="1:6" x14ac:dyDescent="0.25">
      <c r="A480" s="5" t="s">
        <v>803</v>
      </c>
      <c r="B480" s="5" t="s">
        <v>253</v>
      </c>
      <c r="C480" s="12">
        <v>45949</v>
      </c>
      <c r="D480" s="5" t="s">
        <v>12</v>
      </c>
      <c r="E480" s="6">
        <v>17442</v>
      </c>
      <c r="F480" s="5">
        <v>2025</v>
      </c>
    </row>
    <row r="481" spans="1:6" x14ac:dyDescent="0.25">
      <c r="A481" s="5" t="s">
        <v>804</v>
      </c>
      <c r="B481" s="5" t="s">
        <v>253</v>
      </c>
      <c r="C481" s="12">
        <v>45893</v>
      </c>
      <c r="D481" s="5" t="s">
        <v>330</v>
      </c>
      <c r="E481" s="6">
        <v>43214</v>
      </c>
      <c r="F481" s="5">
        <v>2025</v>
      </c>
    </row>
    <row r="482" spans="1:6" x14ac:dyDescent="0.25">
      <c r="A482" s="5" t="s">
        <v>805</v>
      </c>
      <c r="B482" s="5" t="s">
        <v>253</v>
      </c>
      <c r="C482" s="12">
        <v>45867</v>
      </c>
      <c r="D482" s="5" t="s">
        <v>330</v>
      </c>
      <c r="E482" s="6">
        <v>12927</v>
      </c>
      <c r="F482" s="5">
        <v>2025</v>
      </c>
    </row>
    <row r="483" spans="1:6" x14ac:dyDescent="0.25">
      <c r="A483" s="5" t="s">
        <v>806</v>
      </c>
      <c r="B483" s="5" t="s">
        <v>253</v>
      </c>
      <c r="C483" s="12">
        <v>45931</v>
      </c>
      <c r="D483" s="5" t="s">
        <v>330</v>
      </c>
      <c r="E483" s="6">
        <v>34348</v>
      </c>
      <c r="F483" s="5">
        <v>2025</v>
      </c>
    </row>
    <row r="484" spans="1:6" x14ac:dyDescent="0.25">
      <c r="A484" s="5" t="s">
        <v>807</v>
      </c>
      <c r="B484" s="5" t="s">
        <v>254</v>
      </c>
      <c r="C484" s="12">
        <v>45865</v>
      </c>
      <c r="D484" s="5" t="s">
        <v>324</v>
      </c>
      <c r="E484" s="6">
        <v>21767</v>
      </c>
      <c r="F484" s="5">
        <v>2025</v>
      </c>
    </row>
    <row r="485" spans="1:6" x14ac:dyDescent="0.25">
      <c r="A485" s="5" t="s">
        <v>808</v>
      </c>
      <c r="B485" s="5" t="s">
        <v>254</v>
      </c>
      <c r="C485" s="12">
        <v>45813</v>
      </c>
      <c r="D485" s="5" t="s">
        <v>324</v>
      </c>
      <c r="E485" s="6">
        <v>47080</v>
      </c>
      <c r="F485" s="5">
        <v>2025</v>
      </c>
    </row>
    <row r="486" spans="1:6" x14ac:dyDescent="0.25">
      <c r="A486" s="5" t="s">
        <v>809</v>
      </c>
      <c r="B486" s="5" t="s">
        <v>254</v>
      </c>
      <c r="C486" s="12">
        <v>45830</v>
      </c>
      <c r="D486" s="5" t="s">
        <v>324</v>
      </c>
      <c r="E486" s="6">
        <v>38859</v>
      </c>
      <c r="F486" s="5">
        <v>2025</v>
      </c>
    </row>
    <row r="487" spans="1:6" x14ac:dyDescent="0.25">
      <c r="A487" s="5" t="s">
        <v>810</v>
      </c>
      <c r="B487" s="5" t="s">
        <v>254</v>
      </c>
      <c r="C487" s="12">
        <v>45839</v>
      </c>
      <c r="D487" s="5" t="s">
        <v>12</v>
      </c>
      <c r="E487" s="6">
        <v>54170</v>
      </c>
      <c r="F487" s="5">
        <v>2025</v>
      </c>
    </row>
    <row r="488" spans="1:6" x14ac:dyDescent="0.25">
      <c r="A488" s="5" t="s">
        <v>811</v>
      </c>
      <c r="B488" s="5" t="s">
        <v>254</v>
      </c>
      <c r="C488" s="12">
        <v>45832</v>
      </c>
      <c r="D488" s="5" t="s">
        <v>330</v>
      </c>
      <c r="E488" s="6">
        <v>34199</v>
      </c>
      <c r="F488" s="5">
        <v>2025</v>
      </c>
    </row>
    <row r="489" spans="1:6" x14ac:dyDescent="0.25">
      <c r="A489" s="5" t="s">
        <v>812</v>
      </c>
      <c r="B489" s="5" t="s">
        <v>254</v>
      </c>
      <c r="C489" s="12">
        <v>45797</v>
      </c>
      <c r="D489" s="5" t="s">
        <v>330</v>
      </c>
      <c r="E489" s="6">
        <v>7235</v>
      </c>
      <c r="F489" s="5">
        <v>2025</v>
      </c>
    </row>
    <row r="490" spans="1:6" x14ac:dyDescent="0.25">
      <c r="A490" s="5" t="s">
        <v>813</v>
      </c>
      <c r="B490" s="5" t="s">
        <v>254</v>
      </c>
      <c r="C490" s="12">
        <v>45873</v>
      </c>
      <c r="D490" s="5" t="s">
        <v>330</v>
      </c>
      <c r="E490" s="6">
        <v>12129</v>
      </c>
      <c r="F490" s="5">
        <v>2025</v>
      </c>
    </row>
    <row r="491" spans="1:6" x14ac:dyDescent="0.25">
      <c r="A491" s="5" t="s">
        <v>814</v>
      </c>
      <c r="B491" s="5" t="s">
        <v>254</v>
      </c>
      <c r="C491" s="12">
        <v>45795</v>
      </c>
      <c r="D491" s="5" t="s">
        <v>330</v>
      </c>
      <c r="E491" s="6">
        <v>19681</v>
      </c>
      <c r="F491" s="5">
        <v>2025</v>
      </c>
    </row>
    <row r="492" spans="1:6" x14ac:dyDescent="0.25">
      <c r="A492" s="5" t="s">
        <v>815</v>
      </c>
      <c r="B492" s="5" t="s">
        <v>257</v>
      </c>
      <c r="C492" s="12">
        <v>45847</v>
      </c>
      <c r="D492" s="5" t="s">
        <v>324</v>
      </c>
      <c r="E492" s="6">
        <v>6715</v>
      </c>
      <c r="F492" s="5">
        <v>2025</v>
      </c>
    </row>
    <row r="493" spans="1:6" x14ac:dyDescent="0.25">
      <c r="A493" s="5" t="s">
        <v>816</v>
      </c>
      <c r="B493" s="5" t="s">
        <v>257</v>
      </c>
      <c r="C493" s="12">
        <v>45836</v>
      </c>
      <c r="D493" s="5" t="s">
        <v>324</v>
      </c>
      <c r="E493" s="6">
        <v>23814</v>
      </c>
      <c r="F493" s="5">
        <v>2025</v>
      </c>
    </row>
    <row r="494" spans="1:6" x14ac:dyDescent="0.25">
      <c r="A494" s="5" t="s">
        <v>817</v>
      </c>
      <c r="B494" s="5" t="s">
        <v>257</v>
      </c>
      <c r="C494" s="12">
        <v>45896</v>
      </c>
      <c r="D494" s="5" t="s">
        <v>12</v>
      </c>
      <c r="E494" s="6">
        <v>13159</v>
      </c>
      <c r="F494" s="5">
        <v>2025</v>
      </c>
    </row>
    <row r="495" spans="1:6" x14ac:dyDescent="0.25">
      <c r="A495" s="5" t="s">
        <v>818</v>
      </c>
      <c r="B495" s="5" t="s">
        <v>257</v>
      </c>
      <c r="C495" s="12">
        <v>45877</v>
      </c>
      <c r="D495" s="5" t="s">
        <v>330</v>
      </c>
      <c r="E495" s="6">
        <v>5272</v>
      </c>
      <c r="F495" s="5">
        <v>2025</v>
      </c>
    </row>
    <row r="496" spans="1:6" x14ac:dyDescent="0.25">
      <c r="A496" s="5" t="s">
        <v>819</v>
      </c>
      <c r="B496" s="5" t="s">
        <v>257</v>
      </c>
      <c r="C496" s="12">
        <v>45877</v>
      </c>
      <c r="D496" s="5" t="s">
        <v>330</v>
      </c>
      <c r="E496" s="6">
        <v>1370</v>
      </c>
      <c r="F496" s="5">
        <v>2025</v>
      </c>
    </row>
    <row r="497" spans="1:6" x14ac:dyDescent="0.25">
      <c r="A497" s="5" t="s">
        <v>820</v>
      </c>
      <c r="B497" s="5" t="s">
        <v>257</v>
      </c>
      <c r="C497" s="12">
        <v>45818</v>
      </c>
      <c r="D497" s="5" t="s">
        <v>330</v>
      </c>
      <c r="E497" s="6">
        <v>1420</v>
      </c>
      <c r="F497" s="5">
        <v>2025</v>
      </c>
    </row>
    <row r="498" spans="1:6" x14ac:dyDescent="0.25">
      <c r="A498" s="5" t="s">
        <v>821</v>
      </c>
      <c r="B498" s="5" t="s">
        <v>257</v>
      </c>
      <c r="C498" s="12">
        <v>45822</v>
      </c>
      <c r="D498" s="5" t="s">
        <v>330</v>
      </c>
      <c r="E498" s="6">
        <v>6504</v>
      </c>
      <c r="F498" s="5">
        <v>2025</v>
      </c>
    </row>
    <row r="499" spans="1:6" x14ac:dyDescent="0.25">
      <c r="A499" s="5" t="s">
        <v>822</v>
      </c>
      <c r="B499" s="5" t="s">
        <v>257</v>
      </c>
      <c r="C499" s="12">
        <v>45867</v>
      </c>
      <c r="D499" s="5" t="s">
        <v>330</v>
      </c>
      <c r="E499" s="6">
        <v>4294</v>
      </c>
      <c r="F499" s="5">
        <v>2025</v>
      </c>
    </row>
    <row r="500" spans="1:6" x14ac:dyDescent="0.25">
      <c r="A500" s="5" t="s">
        <v>823</v>
      </c>
      <c r="B500" s="5" t="s">
        <v>260</v>
      </c>
      <c r="C500" s="12">
        <v>45978</v>
      </c>
      <c r="D500" s="5" t="s">
        <v>324</v>
      </c>
      <c r="E500" s="6">
        <v>21098</v>
      </c>
      <c r="F500" s="5">
        <v>2025</v>
      </c>
    </row>
    <row r="501" spans="1:6" x14ac:dyDescent="0.25">
      <c r="A501" s="5" t="s">
        <v>824</v>
      </c>
      <c r="B501" s="5" t="s">
        <v>260</v>
      </c>
      <c r="C501" s="12">
        <v>45988</v>
      </c>
      <c r="D501" s="5" t="s">
        <v>324</v>
      </c>
      <c r="E501" s="6">
        <v>13619</v>
      </c>
      <c r="F501" s="5">
        <v>2025</v>
      </c>
    </row>
    <row r="502" spans="1:6" x14ac:dyDescent="0.25">
      <c r="A502" s="5" t="s">
        <v>825</v>
      </c>
      <c r="B502" s="5" t="s">
        <v>260</v>
      </c>
      <c r="C502" s="12">
        <v>46008</v>
      </c>
      <c r="D502" s="5" t="s">
        <v>324</v>
      </c>
      <c r="E502" s="6">
        <v>111387</v>
      </c>
      <c r="F502" s="5">
        <v>2025</v>
      </c>
    </row>
    <row r="503" spans="1:6" x14ac:dyDescent="0.25">
      <c r="A503" s="5" t="s">
        <v>826</v>
      </c>
      <c r="B503" s="5" t="s">
        <v>260</v>
      </c>
      <c r="C503" s="12">
        <v>46022</v>
      </c>
      <c r="D503" s="5" t="s">
        <v>12</v>
      </c>
      <c r="E503" s="6">
        <v>73482</v>
      </c>
      <c r="F503" s="5">
        <v>2025</v>
      </c>
    </row>
    <row r="504" spans="1:6" x14ac:dyDescent="0.25">
      <c r="A504" s="5" t="s">
        <v>827</v>
      </c>
      <c r="B504" s="5" t="s">
        <v>260</v>
      </c>
      <c r="C504" s="12">
        <v>45943</v>
      </c>
      <c r="D504" s="5" t="s">
        <v>330</v>
      </c>
      <c r="E504" s="6">
        <v>11276</v>
      </c>
      <c r="F504" s="5">
        <v>2025</v>
      </c>
    </row>
    <row r="505" spans="1:6" x14ac:dyDescent="0.25">
      <c r="A505" s="5" t="s">
        <v>828</v>
      </c>
      <c r="B505" s="5" t="s">
        <v>260</v>
      </c>
      <c r="C505" s="12">
        <v>45929</v>
      </c>
      <c r="D505" s="5" t="s">
        <v>330</v>
      </c>
      <c r="E505" s="6">
        <v>34325</v>
      </c>
      <c r="F505" s="5">
        <v>2025</v>
      </c>
    </row>
    <row r="506" spans="1:6" x14ac:dyDescent="0.25">
      <c r="A506" s="5" t="s">
        <v>829</v>
      </c>
      <c r="B506" s="5" t="s">
        <v>260</v>
      </c>
      <c r="C506" s="12">
        <v>46017</v>
      </c>
      <c r="D506" s="5" t="s">
        <v>330</v>
      </c>
      <c r="E506" s="6">
        <v>20071</v>
      </c>
      <c r="F506" s="5">
        <v>2025</v>
      </c>
    </row>
    <row r="507" spans="1:6" x14ac:dyDescent="0.25">
      <c r="A507" s="5" t="s">
        <v>830</v>
      </c>
      <c r="B507" s="5" t="s">
        <v>260</v>
      </c>
      <c r="C507" s="12">
        <v>45993</v>
      </c>
      <c r="D507" s="5" t="s">
        <v>330</v>
      </c>
      <c r="E507" s="6">
        <v>22411</v>
      </c>
      <c r="F507" s="5">
        <v>2025</v>
      </c>
    </row>
    <row r="508" spans="1:6" x14ac:dyDescent="0.25">
      <c r="A508" s="5" t="s">
        <v>831</v>
      </c>
      <c r="B508" s="5" t="s">
        <v>260</v>
      </c>
      <c r="C508" s="12">
        <v>45958</v>
      </c>
      <c r="D508" s="5" t="s">
        <v>330</v>
      </c>
      <c r="E508" s="6">
        <v>11274</v>
      </c>
      <c r="F508" s="5">
        <v>2025</v>
      </c>
    </row>
    <row r="509" spans="1:6" x14ac:dyDescent="0.25">
      <c r="A509" s="5" t="s">
        <v>832</v>
      </c>
      <c r="B509" s="5" t="s">
        <v>262</v>
      </c>
      <c r="C509" s="12">
        <v>45806</v>
      </c>
      <c r="D509" s="5" t="s">
        <v>324</v>
      </c>
      <c r="E509" s="6">
        <v>54521</v>
      </c>
      <c r="F509" s="5">
        <v>2025</v>
      </c>
    </row>
    <row r="510" spans="1:6" x14ac:dyDescent="0.25">
      <c r="A510" s="5" t="s">
        <v>833</v>
      </c>
      <c r="B510" s="5" t="s">
        <v>262</v>
      </c>
      <c r="C510" s="12">
        <v>45811</v>
      </c>
      <c r="D510" s="5" t="s">
        <v>324</v>
      </c>
      <c r="E510" s="6">
        <v>29361</v>
      </c>
      <c r="F510" s="5">
        <v>2025</v>
      </c>
    </row>
    <row r="511" spans="1:6" x14ac:dyDescent="0.25">
      <c r="A511" s="5" t="s">
        <v>834</v>
      </c>
      <c r="B511" s="5" t="s">
        <v>262</v>
      </c>
      <c r="C511" s="12">
        <v>45797</v>
      </c>
      <c r="D511" s="5" t="s">
        <v>324</v>
      </c>
      <c r="E511" s="6">
        <v>51357</v>
      </c>
      <c r="F511" s="5">
        <v>2025</v>
      </c>
    </row>
    <row r="512" spans="1:6" x14ac:dyDescent="0.25">
      <c r="A512" s="5" t="s">
        <v>835</v>
      </c>
      <c r="B512" s="5" t="s">
        <v>262</v>
      </c>
      <c r="C512" s="12">
        <v>45810</v>
      </c>
      <c r="D512" s="5" t="s">
        <v>12</v>
      </c>
      <c r="E512" s="6">
        <v>58295</v>
      </c>
      <c r="F512" s="5">
        <v>2025</v>
      </c>
    </row>
    <row r="513" spans="1:6" x14ac:dyDescent="0.25">
      <c r="A513" s="5" t="s">
        <v>836</v>
      </c>
      <c r="B513" s="5" t="s">
        <v>262</v>
      </c>
      <c r="C513" s="12">
        <v>45825</v>
      </c>
      <c r="D513" s="5" t="s">
        <v>330</v>
      </c>
      <c r="E513" s="6">
        <v>44635</v>
      </c>
      <c r="F513" s="5">
        <v>2025</v>
      </c>
    </row>
    <row r="514" spans="1:6" x14ac:dyDescent="0.25">
      <c r="A514" s="5" t="s">
        <v>837</v>
      </c>
      <c r="B514" s="5" t="s">
        <v>262</v>
      </c>
      <c r="C514" s="12">
        <v>45786</v>
      </c>
      <c r="D514" s="5" t="s">
        <v>330</v>
      </c>
      <c r="E514" s="6">
        <v>23476</v>
      </c>
      <c r="F514" s="5">
        <v>2025</v>
      </c>
    </row>
    <row r="515" spans="1:6" x14ac:dyDescent="0.25">
      <c r="A515" s="5" t="s">
        <v>838</v>
      </c>
      <c r="B515" s="5" t="s">
        <v>262</v>
      </c>
      <c r="C515" s="12">
        <v>45781</v>
      </c>
      <c r="D515" s="5" t="s">
        <v>330</v>
      </c>
      <c r="E515" s="6">
        <v>15435</v>
      </c>
      <c r="F515" s="5">
        <v>2025</v>
      </c>
    </row>
    <row r="516" spans="1:6" x14ac:dyDescent="0.25">
      <c r="A516" s="5" t="s">
        <v>839</v>
      </c>
      <c r="B516" s="5" t="s">
        <v>265</v>
      </c>
      <c r="C516" s="12">
        <v>45807</v>
      </c>
      <c r="D516" s="5" t="s">
        <v>324</v>
      </c>
      <c r="E516" s="6">
        <v>6388</v>
      </c>
      <c r="F516" s="5">
        <v>2025</v>
      </c>
    </row>
    <row r="517" spans="1:6" x14ac:dyDescent="0.25">
      <c r="A517" s="5" t="s">
        <v>840</v>
      </c>
      <c r="B517" s="5" t="s">
        <v>265</v>
      </c>
      <c r="C517" s="12">
        <v>45828</v>
      </c>
      <c r="D517" s="5" t="s">
        <v>324</v>
      </c>
      <c r="E517" s="6">
        <v>17607</v>
      </c>
      <c r="F517" s="5">
        <v>2025</v>
      </c>
    </row>
    <row r="518" spans="1:6" x14ac:dyDescent="0.25">
      <c r="A518" s="5" t="s">
        <v>841</v>
      </c>
      <c r="B518" s="5" t="s">
        <v>265</v>
      </c>
      <c r="C518" s="12">
        <v>45802</v>
      </c>
      <c r="D518" s="5" t="s">
        <v>324</v>
      </c>
      <c r="E518" s="6">
        <v>10628</v>
      </c>
      <c r="F518" s="5">
        <v>2025</v>
      </c>
    </row>
    <row r="519" spans="1:6" x14ac:dyDescent="0.25">
      <c r="A519" s="5" t="s">
        <v>842</v>
      </c>
      <c r="B519" s="5" t="s">
        <v>265</v>
      </c>
      <c r="C519" s="12">
        <v>45799</v>
      </c>
      <c r="D519" s="5" t="s">
        <v>324</v>
      </c>
      <c r="E519" s="6">
        <v>3272</v>
      </c>
      <c r="F519" s="5">
        <v>2025</v>
      </c>
    </row>
    <row r="520" spans="1:6" x14ac:dyDescent="0.25">
      <c r="A520" s="5" t="s">
        <v>843</v>
      </c>
      <c r="B520" s="5" t="s">
        <v>265</v>
      </c>
      <c r="C520" s="12">
        <v>45830</v>
      </c>
      <c r="D520" s="5" t="s">
        <v>12</v>
      </c>
      <c r="E520" s="6">
        <v>3690</v>
      </c>
      <c r="F520" s="5">
        <v>2025</v>
      </c>
    </row>
    <row r="521" spans="1:6" x14ac:dyDescent="0.25">
      <c r="A521" s="5" t="s">
        <v>844</v>
      </c>
      <c r="B521" s="5" t="s">
        <v>265</v>
      </c>
      <c r="C521" s="12">
        <v>45840</v>
      </c>
      <c r="D521" s="5" t="s">
        <v>12</v>
      </c>
      <c r="E521" s="6">
        <v>12645</v>
      </c>
      <c r="F521" s="5">
        <v>2025</v>
      </c>
    </row>
    <row r="522" spans="1:6" x14ac:dyDescent="0.25">
      <c r="A522" s="5" t="s">
        <v>845</v>
      </c>
      <c r="B522" s="5" t="s">
        <v>265</v>
      </c>
      <c r="C522" s="12">
        <v>45819</v>
      </c>
      <c r="D522" s="5" t="s">
        <v>330</v>
      </c>
      <c r="E522" s="6">
        <v>8403</v>
      </c>
      <c r="F522" s="5">
        <v>2025</v>
      </c>
    </row>
    <row r="523" spans="1:6" x14ac:dyDescent="0.25">
      <c r="A523" s="5" t="s">
        <v>846</v>
      </c>
      <c r="B523" s="5" t="s">
        <v>265</v>
      </c>
      <c r="C523" s="12">
        <v>45836</v>
      </c>
      <c r="D523" s="5" t="s">
        <v>330</v>
      </c>
      <c r="E523" s="6">
        <v>11380</v>
      </c>
      <c r="F523" s="5">
        <v>2025</v>
      </c>
    </row>
    <row r="524" spans="1:6" x14ac:dyDescent="0.25">
      <c r="A524" s="5" t="s">
        <v>847</v>
      </c>
      <c r="B524" s="5" t="s">
        <v>265</v>
      </c>
      <c r="C524" s="12">
        <v>45812</v>
      </c>
      <c r="D524" s="5" t="s">
        <v>330</v>
      </c>
      <c r="E524" s="6">
        <v>3628</v>
      </c>
      <c r="F524" s="5">
        <v>2025</v>
      </c>
    </row>
    <row r="525" spans="1:6" x14ac:dyDescent="0.25">
      <c r="A525" s="5" t="s">
        <v>848</v>
      </c>
      <c r="B525" s="5" t="s">
        <v>268</v>
      </c>
      <c r="C525" s="12">
        <v>46006</v>
      </c>
      <c r="D525" s="5" t="s">
        <v>324</v>
      </c>
      <c r="E525" s="6">
        <v>9169</v>
      </c>
      <c r="F525" s="5">
        <v>2025</v>
      </c>
    </row>
    <row r="526" spans="1:6" x14ac:dyDescent="0.25">
      <c r="A526" s="5" t="s">
        <v>849</v>
      </c>
      <c r="B526" s="5" t="s">
        <v>268</v>
      </c>
      <c r="C526" s="12">
        <v>46015</v>
      </c>
      <c r="D526" s="5" t="s">
        <v>324</v>
      </c>
      <c r="E526" s="6">
        <v>12835</v>
      </c>
      <c r="F526" s="5">
        <v>2025</v>
      </c>
    </row>
    <row r="527" spans="1:6" x14ac:dyDescent="0.25">
      <c r="A527" s="5" t="s">
        <v>850</v>
      </c>
      <c r="B527" s="5" t="s">
        <v>268</v>
      </c>
      <c r="C527" s="12">
        <v>46012</v>
      </c>
      <c r="D527" s="5" t="s">
        <v>324</v>
      </c>
      <c r="E527" s="6">
        <v>22203</v>
      </c>
      <c r="F527" s="5">
        <v>2025</v>
      </c>
    </row>
    <row r="528" spans="1:6" x14ac:dyDescent="0.25">
      <c r="A528" s="5" t="s">
        <v>851</v>
      </c>
      <c r="B528" s="5" t="s">
        <v>268</v>
      </c>
      <c r="C528" s="12">
        <v>46012</v>
      </c>
      <c r="D528" s="5" t="s">
        <v>324</v>
      </c>
      <c r="E528" s="6">
        <v>3471</v>
      </c>
      <c r="F528" s="5">
        <v>2025</v>
      </c>
    </row>
    <row r="529" spans="1:6" x14ac:dyDescent="0.25">
      <c r="A529" s="5" t="s">
        <v>852</v>
      </c>
      <c r="B529" s="5" t="s">
        <v>268</v>
      </c>
      <c r="C529" s="12">
        <v>46022</v>
      </c>
      <c r="D529" s="5" t="s">
        <v>12</v>
      </c>
      <c r="E529" s="6">
        <v>11763</v>
      </c>
      <c r="F529" s="5">
        <v>2025</v>
      </c>
    </row>
    <row r="530" spans="1:6" x14ac:dyDescent="0.25">
      <c r="A530" s="5" t="s">
        <v>853</v>
      </c>
      <c r="B530" s="5" t="s">
        <v>268</v>
      </c>
      <c r="C530" s="12">
        <v>46022</v>
      </c>
      <c r="D530" s="5" t="s">
        <v>12</v>
      </c>
      <c r="E530" s="6">
        <v>5425</v>
      </c>
      <c r="F530" s="5">
        <v>2025</v>
      </c>
    </row>
    <row r="531" spans="1:6" x14ac:dyDescent="0.25">
      <c r="A531" s="5" t="s">
        <v>854</v>
      </c>
      <c r="B531" s="5" t="s">
        <v>268</v>
      </c>
      <c r="C531" s="12">
        <v>46015</v>
      </c>
      <c r="D531" s="5" t="s">
        <v>12</v>
      </c>
      <c r="E531" s="6">
        <v>3364</v>
      </c>
      <c r="F531" s="5">
        <v>2025</v>
      </c>
    </row>
    <row r="532" spans="1:6" x14ac:dyDescent="0.25">
      <c r="A532" s="5" t="s">
        <v>855</v>
      </c>
      <c r="B532" s="5" t="s">
        <v>268</v>
      </c>
      <c r="C532" s="12">
        <v>46010</v>
      </c>
      <c r="D532" s="5" t="s">
        <v>330</v>
      </c>
      <c r="E532" s="6">
        <v>7904</v>
      </c>
      <c r="F532" s="5">
        <v>2025</v>
      </c>
    </row>
    <row r="533" spans="1:6" x14ac:dyDescent="0.25">
      <c r="A533" s="5" t="s">
        <v>856</v>
      </c>
      <c r="B533" s="5" t="s">
        <v>268</v>
      </c>
      <c r="C533" s="12">
        <v>46022</v>
      </c>
      <c r="D533" s="5" t="s">
        <v>330</v>
      </c>
      <c r="E533" s="6">
        <v>6298</v>
      </c>
      <c r="F533" s="5">
        <v>2025</v>
      </c>
    </row>
    <row r="534" spans="1:6" x14ac:dyDescent="0.25">
      <c r="A534" s="5" t="s">
        <v>857</v>
      </c>
      <c r="B534" s="5" t="s">
        <v>268</v>
      </c>
      <c r="C534" s="12">
        <v>46008</v>
      </c>
      <c r="D534" s="5" t="s">
        <v>330</v>
      </c>
      <c r="E534" s="6">
        <v>2628</v>
      </c>
      <c r="F534" s="5">
        <v>2025</v>
      </c>
    </row>
    <row r="535" spans="1:6" x14ac:dyDescent="0.25">
      <c r="A535" s="5" t="s">
        <v>858</v>
      </c>
      <c r="B535" s="5" t="s">
        <v>268</v>
      </c>
      <c r="C535" s="12">
        <v>46010</v>
      </c>
      <c r="D535" s="5" t="s">
        <v>330</v>
      </c>
      <c r="E535" s="6">
        <v>12624</v>
      </c>
      <c r="F535" s="5">
        <v>2025</v>
      </c>
    </row>
    <row r="536" spans="1:6" x14ac:dyDescent="0.25">
      <c r="A536" s="5" t="s">
        <v>859</v>
      </c>
      <c r="B536" s="5" t="s">
        <v>271</v>
      </c>
      <c r="C536" s="12">
        <v>45792</v>
      </c>
      <c r="D536" s="5" t="s">
        <v>324</v>
      </c>
      <c r="E536" s="6">
        <v>13137</v>
      </c>
      <c r="F536" s="5">
        <v>2025</v>
      </c>
    </row>
    <row r="537" spans="1:6" x14ac:dyDescent="0.25">
      <c r="A537" s="5" t="s">
        <v>860</v>
      </c>
      <c r="B537" s="5" t="s">
        <v>271</v>
      </c>
      <c r="C537" s="12">
        <v>45787</v>
      </c>
      <c r="D537" s="5" t="s">
        <v>324</v>
      </c>
      <c r="E537" s="6">
        <v>1890</v>
      </c>
      <c r="F537" s="5">
        <v>2025</v>
      </c>
    </row>
    <row r="538" spans="1:6" x14ac:dyDescent="0.25">
      <c r="A538" s="5" t="s">
        <v>861</v>
      </c>
      <c r="B538" s="5" t="s">
        <v>271</v>
      </c>
      <c r="C538" s="12">
        <v>45804</v>
      </c>
      <c r="D538" s="5" t="s">
        <v>324</v>
      </c>
      <c r="E538" s="6">
        <v>4722</v>
      </c>
      <c r="F538" s="5">
        <v>2025</v>
      </c>
    </row>
    <row r="539" spans="1:6" x14ac:dyDescent="0.25">
      <c r="A539" s="5" t="s">
        <v>862</v>
      </c>
      <c r="B539" s="5" t="s">
        <v>271</v>
      </c>
      <c r="C539" s="12">
        <v>45800</v>
      </c>
      <c r="D539" s="5" t="s">
        <v>12</v>
      </c>
      <c r="E539" s="6">
        <v>4800</v>
      </c>
      <c r="F539" s="5">
        <v>2025</v>
      </c>
    </row>
    <row r="540" spans="1:6" x14ac:dyDescent="0.25">
      <c r="A540" s="5" t="s">
        <v>863</v>
      </c>
      <c r="B540" s="5" t="s">
        <v>271</v>
      </c>
      <c r="C540" s="12">
        <v>45823</v>
      </c>
      <c r="D540" s="5" t="s">
        <v>12</v>
      </c>
      <c r="E540" s="6">
        <v>3713</v>
      </c>
      <c r="F540" s="5">
        <v>2025</v>
      </c>
    </row>
    <row r="541" spans="1:6" x14ac:dyDescent="0.25">
      <c r="A541" s="5" t="s">
        <v>864</v>
      </c>
      <c r="B541" s="5" t="s">
        <v>271</v>
      </c>
      <c r="C541" s="12">
        <v>45823</v>
      </c>
      <c r="D541" s="5" t="s">
        <v>330</v>
      </c>
      <c r="E541" s="6">
        <v>2316</v>
      </c>
      <c r="F541" s="5">
        <v>2025</v>
      </c>
    </row>
    <row r="542" spans="1:6" x14ac:dyDescent="0.25">
      <c r="A542" s="5" t="s">
        <v>865</v>
      </c>
      <c r="B542" s="5" t="s">
        <v>271</v>
      </c>
      <c r="C542" s="12">
        <v>45804</v>
      </c>
      <c r="D542" s="5" t="s">
        <v>330</v>
      </c>
      <c r="E542" s="6">
        <v>2853</v>
      </c>
      <c r="F542" s="5">
        <v>2025</v>
      </c>
    </row>
    <row r="543" spans="1:6" x14ac:dyDescent="0.25">
      <c r="A543" s="5" t="s">
        <v>866</v>
      </c>
      <c r="B543" s="5" t="s">
        <v>271</v>
      </c>
      <c r="C543" s="12">
        <v>45810</v>
      </c>
      <c r="D543" s="5" t="s">
        <v>330</v>
      </c>
      <c r="E543" s="6">
        <v>3528</v>
      </c>
      <c r="F543" s="5">
        <v>2025</v>
      </c>
    </row>
    <row r="544" spans="1:6" x14ac:dyDescent="0.25">
      <c r="A544" s="5" t="s">
        <v>867</v>
      </c>
      <c r="B544" s="5" t="s">
        <v>271</v>
      </c>
      <c r="C544" s="12">
        <v>45786</v>
      </c>
      <c r="D544" s="5" t="s">
        <v>330</v>
      </c>
      <c r="E544" s="6">
        <v>3504</v>
      </c>
      <c r="F544" s="5">
        <v>2025</v>
      </c>
    </row>
    <row r="545" spans="1:6" x14ac:dyDescent="0.25">
      <c r="A545" s="5" t="s">
        <v>868</v>
      </c>
      <c r="B545" s="5" t="s">
        <v>274</v>
      </c>
      <c r="C545" s="12">
        <v>45886</v>
      </c>
      <c r="D545" s="5" t="s">
        <v>324</v>
      </c>
      <c r="E545" s="6">
        <v>38204</v>
      </c>
      <c r="F545" s="5">
        <v>2025</v>
      </c>
    </row>
    <row r="546" spans="1:6" x14ac:dyDescent="0.25">
      <c r="A546" s="5" t="s">
        <v>869</v>
      </c>
      <c r="B546" s="5" t="s">
        <v>274</v>
      </c>
      <c r="C546" s="12">
        <v>45871</v>
      </c>
      <c r="D546" s="5" t="s">
        <v>324</v>
      </c>
      <c r="E546" s="6">
        <v>25145</v>
      </c>
      <c r="F546" s="5">
        <v>2025</v>
      </c>
    </row>
    <row r="547" spans="1:6" x14ac:dyDescent="0.25">
      <c r="A547" s="5" t="s">
        <v>870</v>
      </c>
      <c r="B547" s="5" t="s">
        <v>274</v>
      </c>
      <c r="C547" s="12">
        <v>45905</v>
      </c>
      <c r="D547" s="5" t="s">
        <v>324</v>
      </c>
      <c r="E547" s="6">
        <v>15298</v>
      </c>
      <c r="F547" s="5">
        <v>2025</v>
      </c>
    </row>
    <row r="548" spans="1:6" x14ac:dyDescent="0.25">
      <c r="A548" s="5" t="s">
        <v>871</v>
      </c>
      <c r="B548" s="5" t="s">
        <v>274</v>
      </c>
      <c r="C548" s="12">
        <v>45948</v>
      </c>
      <c r="D548" s="5" t="s">
        <v>12</v>
      </c>
      <c r="E548" s="6">
        <v>39555</v>
      </c>
      <c r="F548" s="5">
        <v>2025</v>
      </c>
    </row>
    <row r="549" spans="1:6" x14ac:dyDescent="0.25">
      <c r="A549" s="5" t="s">
        <v>872</v>
      </c>
      <c r="B549" s="5" t="s">
        <v>274</v>
      </c>
      <c r="C549" s="12">
        <v>45947</v>
      </c>
      <c r="D549" s="5" t="s">
        <v>330</v>
      </c>
      <c r="E549" s="6">
        <v>9758</v>
      </c>
      <c r="F549" s="5">
        <v>2025</v>
      </c>
    </row>
    <row r="550" spans="1:6" x14ac:dyDescent="0.25">
      <c r="A550" s="5" t="s">
        <v>873</v>
      </c>
      <c r="B550" s="5" t="s">
        <v>274</v>
      </c>
      <c r="C550" s="12">
        <v>45978</v>
      </c>
      <c r="D550" s="5" t="s">
        <v>330</v>
      </c>
      <c r="E550" s="6">
        <v>3153</v>
      </c>
      <c r="F550" s="5">
        <v>2025</v>
      </c>
    </row>
    <row r="551" spans="1:6" x14ac:dyDescent="0.25">
      <c r="A551" s="5" t="s">
        <v>874</v>
      </c>
      <c r="B551" s="5" t="s">
        <v>274</v>
      </c>
      <c r="C551" s="12">
        <v>45917</v>
      </c>
      <c r="D551" s="5" t="s">
        <v>330</v>
      </c>
      <c r="E551" s="6">
        <v>7854</v>
      </c>
      <c r="F551" s="5">
        <v>2025</v>
      </c>
    </row>
    <row r="552" spans="1:6" x14ac:dyDescent="0.25">
      <c r="A552" s="5" t="s">
        <v>875</v>
      </c>
      <c r="B552" s="5" t="s">
        <v>274</v>
      </c>
      <c r="C552" s="12">
        <v>45889</v>
      </c>
      <c r="D552" s="5" t="s">
        <v>330</v>
      </c>
      <c r="E552" s="6">
        <v>18252</v>
      </c>
      <c r="F552" s="5">
        <v>2025</v>
      </c>
    </row>
    <row r="553" spans="1:6" x14ac:dyDescent="0.25">
      <c r="A553" s="5" t="s">
        <v>876</v>
      </c>
      <c r="B553" s="5" t="s">
        <v>274</v>
      </c>
      <c r="C553" s="12">
        <v>45938</v>
      </c>
      <c r="D553" s="5" t="s">
        <v>330</v>
      </c>
      <c r="E553" s="6">
        <v>14467</v>
      </c>
      <c r="F553" s="5">
        <v>2025</v>
      </c>
    </row>
    <row r="554" spans="1:6" x14ac:dyDescent="0.25">
      <c r="A554" s="5" t="s">
        <v>877</v>
      </c>
      <c r="B554" s="5" t="s">
        <v>276</v>
      </c>
      <c r="C554" s="12">
        <v>45713</v>
      </c>
      <c r="D554" s="5" t="s">
        <v>324</v>
      </c>
      <c r="E554" s="6">
        <v>18639</v>
      </c>
      <c r="F554" s="5">
        <v>2025</v>
      </c>
    </row>
    <row r="555" spans="1:6" x14ac:dyDescent="0.25">
      <c r="A555" s="5" t="s">
        <v>878</v>
      </c>
      <c r="B555" s="5" t="s">
        <v>276</v>
      </c>
      <c r="C555" s="12">
        <v>45742</v>
      </c>
      <c r="D555" s="5" t="s">
        <v>324</v>
      </c>
      <c r="E555" s="6">
        <v>4678</v>
      </c>
      <c r="F555" s="5">
        <v>2025</v>
      </c>
    </row>
    <row r="556" spans="1:6" x14ac:dyDescent="0.25">
      <c r="A556" s="5" t="s">
        <v>879</v>
      </c>
      <c r="B556" s="5" t="s">
        <v>276</v>
      </c>
      <c r="C556" s="12">
        <v>45752</v>
      </c>
      <c r="D556" s="5" t="s">
        <v>12</v>
      </c>
      <c r="E556" s="6">
        <v>5259</v>
      </c>
      <c r="F556" s="5">
        <v>2025</v>
      </c>
    </row>
    <row r="557" spans="1:6" x14ac:dyDescent="0.25">
      <c r="A557" s="5" t="s">
        <v>880</v>
      </c>
      <c r="B557" s="5" t="s">
        <v>276</v>
      </c>
      <c r="C557" s="12">
        <v>45785</v>
      </c>
      <c r="D557" s="5" t="s">
        <v>12</v>
      </c>
      <c r="E557" s="6">
        <v>4791</v>
      </c>
      <c r="F557" s="5">
        <v>2025</v>
      </c>
    </row>
    <row r="558" spans="1:6" x14ac:dyDescent="0.25">
      <c r="A558" s="5" t="s">
        <v>881</v>
      </c>
      <c r="B558" s="5" t="s">
        <v>276</v>
      </c>
      <c r="C558" s="12">
        <v>45735</v>
      </c>
      <c r="D558" s="5" t="s">
        <v>330</v>
      </c>
      <c r="E558" s="6">
        <v>7671</v>
      </c>
      <c r="F558" s="5">
        <v>2025</v>
      </c>
    </row>
    <row r="559" spans="1:6" x14ac:dyDescent="0.25">
      <c r="A559" s="5" t="s">
        <v>882</v>
      </c>
      <c r="B559" s="5" t="s">
        <v>276</v>
      </c>
      <c r="C559" s="12">
        <v>45765</v>
      </c>
      <c r="D559" s="5" t="s">
        <v>330</v>
      </c>
      <c r="E559" s="6">
        <v>2734</v>
      </c>
      <c r="F559" s="5">
        <v>2025</v>
      </c>
    </row>
    <row r="560" spans="1:6" x14ac:dyDescent="0.25">
      <c r="A560" s="5" t="s">
        <v>883</v>
      </c>
      <c r="B560" s="5" t="s">
        <v>276</v>
      </c>
      <c r="C560" s="12">
        <v>45713</v>
      </c>
      <c r="D560" s="5" t="s">
        <v>330</v>
      </c>
      <c r="E560" s="6">
        <v>4000</v>
      </c>
      <c r="F560" s="5">
        <v>2025</v>
      </c>
    </row>
    <row r="561" spans="1:6" x14ac:dyDescent="0.25">
      <c r="A561" s="5" t="s">
        <v>884</v>
      </c>
      <c r="B561" s="5" t="s">
        <v>278</v>
      </c>
      <c r="C561" s="12">
        <v>45855</v>
      </c>
      <c r="D561" s="5" t="s">
        <v>324</v>
      </c>
      <c r="E561" s="6">
        <v>19008</v>
      </c>
      <c r="F561" s="5">
        <v>2025</v>
      </c>
    </row>
    <row r="562" spans="1:6" x14ac:dyDescent="0.25">
      <c r="A562" s="5" t="s">
        <v>885</v>
      </c>
      <c r="B562" s="5" t="s">
        <v>278</v>
      </c>
      <c r="C562" s="12">
        <v>45843</v>
      </c>
      <c r="D562" s="5" t="s">
        <v>324</v>
      </c>
      <c r="E562" s="6">
        <v>27665</v>
      </c>
      <c r="F562" s="5">
        <v>2025</v>
      </c>
    </row>
    <row r="563" spans="1:6" x14ac:dyDescent="0.25">
      <c r="A563" s="5" t="s">
        <v>886</v>
      </c>
      <c r="B563" s="5" t="s">
        <v>278</v>
      </c>
      <c r="C563" s="12">
        <v>45844</v>
      </c>
      <c r="D563" s="5" t="s">
        <v>324</v>
      </c>
      <c r="E563" s="6">
        <v>13909</v>
      </c>
      <c r="F563" s="5">
        <v>2025</v>
      </c>
    </row>
    <row r="564" spans="1:6" x14ac:dyDescent="0.25">
      <c r="A564" s="5" t="s">
        <v>887</v>
      </c>
      <c r="B564" s="5" t="s">
        <v>278</v>
      </c>
      <c r="C564" s="12">
        <v>45855</v>
      </c>
      <c r="D564" s="5" t="s">
        <v>324</v>
      </c>
      <c r="E564" s="6">
        <v>34370</v>
      </c>
      <c r="F564" s="5">
        <v>2025</v>
      </c>
    </row>
    <row r="565" spans="1:6" x14ac:dyDescent="0.25">
      <c r="A565" s="5" t="s">
        <v>888</v>
      </c>
      <c r="B565" s="5" t="s">
        <v>278</v>
      </c>
      <c r="C565" s="12">
        <v>45847</v>
      </c>
      <c r="D565" s="5" t="s">
        <v>12</v>
      </c>
      <c r="E565" s="6">
        <v>40929</v>
      </c>
      <c r="F565" s="5">
        <v>2025</v>
      </c>
    </row>
    <row r="566" spans="1:6" x14ac:dyDescent="0.25">
      <c r="A566" s="5" t="s">
        <v>889</v>
      </c>
      <c r="B566" s="5" t="s">
        <v>278</v>
      </c>
      <c r="C566" s="12">
        <v>45873</v>
      </c>
      <c r="D566" s="5" t="s">
        <v>330</v>
      </c>
      <c r="E566" s="6">
        <v>18608</v>
      </c>
      <c r="F566" s="5">
        <v>2025</v>
      </c>
    </row>
    <row r="567" spans="1:6" x14ac:dyDescent="0.25">
      <c r="A567" s="5" t="s">
        <v>890</v>
      </c>
      <c r="B567" s="5" t="s">
        <v>278</v>
      </c>
      <c r="C567" s="12">
        <v>45843</v>
      </c>
      <c r="D567" s="5" t="s">
        <v>330</v>
      </c>
      <c r="E567" s="6">
        <v>13297</v>
      </c>
      <c r="F567" s="5">
        <v>2025</v>
      </c>
    </row>
    <row r="568" spans="1:6" x14ac:dyDescent="0.25">
      <c r="A568" s="5" t="s">
        <v>891</v>
      </c>
      <c r="B568" s="5" t="s">
        <v>278</v>
      </c>
      <c r="C568" s="12">
        <v>45869</v>
      </c>
      <c r="D568" s="5" t="s">
        <v>330</v>
      </c>
      <c r="E568" s="6">
        <v>3420</v>
      </c>
      <c r="F568" s="5">
        <v>2025</v>
      </c>
    </row>
    <row r="569" spans="1:6" x14ac:dyDescent="0.25">
      <c r="A569" s="5" t="s">
        <v>892</v>
      </c>
      <c r="B569" s="5" t="s">
        <v>278</v>
      </c>
      <c r="C569" s="12">
        <v>45834</v>
      </c>
      <c r="D569" s="5" t="s">
        <v>330</v>
      </c>
      <c r="E569" s="6">
        <v>14879</v>
      </c>
      <c r="F569" s="5">
        <v>2025</v>
      </c>
    </row>
    <row r="570" spans="1:6" x14ac:dyDescent="0.25">
      <c r="A570" s="5" t="s">
        <v>893</v>
      </c>
      <c r="B570" s="5" t="s">
        <v>278</v>
      </c>
      <c r="C570" s="12">
        <v>45841</v>
      </c>
      <c r="D570" s="5" t="s">
        <v>330</v>
      </c>
      <c r="E570" s="6">
        <v>8453</v>
      </c>
      <c r="F570" s="5">
        <v>2025</v>
      </c>
    </row>
    <row r="571" spans="1:6" x14ac:dyDescent="0.25">
      <c r="A571" s="5" t="s">
        <v>894</v>
      </c>
      <c r="B571" s="5" t="s">
        <v>281</v>
      </c>
      <c r="C571" s="12">
        <v>45943</v>
      </c>
      <c r="D571" s="5" t="s">
        <v>324</v>
      </c>
      <c r="E571" s="6">
        <v>18400</v>
      </c>
      <c r="F571" s="5">
        <v>2025</v>
      </c>
    </row>
    <row r="572" spans="1:6" x14ac:dyDescent="0.25">
      <c r="A572" s="5" t="s">
        <v>895</v>
      </c>
      <c r="B572" s="5" t="s">
        <v>281</v>
      </c>
      <c r="C572" s="12">
        <v>45925</v>
      </c>
      <c r="D572" s="5" t="s">
        <v>324</v>
      </c>
      <c r="E572" s="6">
        <v>15374</v>
      </c>
      <c r="F572" s="5">
        <v>2025</v>
      </c>
    </row>
    <row r="573" spans="1:6" x14ac:dyDescent="0.25">
      <c r="A573" s="5" t="s">
        <v>896</v>
      </c>
      <c r="B573" s="5" t="s">
        <v>281</v>
      </c>
      <c r="C573" s="12">
        <v>45932</v>
      </c>
      <c r="D573" s="5" t="s">
        <v>324</v>
      </c>
      <c r="E573" s="6">
        <v>32740</v>
      </c>
      <c r="F573" s="5">
        <v>2025</v>
      </c>
    </row>
    <row r="574" spans="1:6" x14ac:dyDescent="0.25">
      <c r="A574" s="5" t="s">
        <v>897</v>
      </c>
      <c r="B574" s="5" t="s">
        <v>281</v>
      </c>
      <c r="C574" s="12">
        <v>45965</v>
      </c>
      <c r="D574" s="5" t="s">
        <v>12</v>
      </c>
      <c r="E574" s="6">
        <v>4619</v>
      </c>
      <c r="F574" s="5">
        <v>2025</v>
      </c>
    </row>
    <row r="575" spans="1:6" x14ac:dyDescent="0.25">
      <c r="A575" s="5" t="s">
        <v>898</v>
      </c>
      <c r="B575" s="5" t="s">
        <v>281</v>
      </c>
      <c r="C575" s="12">
        <v>45973</v>
      </c>
      <c r="D575" s="5" t="s">
        <v>12</v>
      </c>
      <c r="E575" s="6">
        <v>27070</v>
      </c>
      <c r="F575" s="5">
        <v>2025</v>
      </c>
    </row>
    <row r="576" spans="1:6" x14ac:dyDescent="0.25">
      <c r="A576" s="5" t="s">
        <v>899</v>
      </c>
      <c r="B576" s="5" t="s">
        <v>281</v>
      </c>
      <c r="C576" s="12">
        <v>45970</v>
      </c>
      <c r="D576" s="5" t="s">
        <v>330</v>
      </c>
      <c r="E576" s="6">
        <v>24128</v>
      </c>
      <c r="F576" s="5">
        <v>2025</v>
      </c>
    </row>
    <row r="577" spans="1:6" x14ac:dyDescent="0.25">
      <c r="A577" s="5" t="s">
        <v>900</v>
      </c>
      <c r="B577" s="5" t="s">
        <v>281</v>
      </c>
      <c r="C577" s="12">
        <v>45950</v>
      </c>
      <c r="D577" s="5" t="s">
        <v>330</v>
      </c>
      <c r="E577" s="6">
        <v>4031</v>
      </c>
      <c r="F577" s="5">
        <v>2025</v>
      </c>
    </row>
    <row r="578" spans="1:6" x14ac:dyDescent="0.25">
      <c r="A578" s="5" t="s">
        <v>901</v>
      </c>
      <c r="B578" s="5" t="s">
        <v>281</v>
      </c>
      <c r="C578" s="12">
        <v>45933</v>
      </c>
      <c r="D578" s="5" t="s">
        <v>330</v>
      </c>
      <c r="E578" s="6">
        <v>14234</v>
      </c>
      <c r="F578" s="5">
        <v>2025</v>
      </c>
    </row>
    <row r="579" spans="1:6" x14ac:dyDescent="0.25">
      <c r="A579" s="5" t="s">
        <v>902</v>
      </c>
      <c r="B579" s="5" t="s">
        <v>284</v>
      </c>
      <c r="C579" s="12">
        <v>45976</v>
      </c>
      <c r="D579" s="5" t="s">
        <v>324</v>
      </c>
      <c r="E579" s="6">
        <v>10591</v>
      </c>
      <c r="F579" s="5">
        <v>2025</v>
      </c>
    </row>
    <row r="580" spans="1:6" x14ac:dyDescent="0.25">
      <c r="A580" s="5" t="s">
        <v>903</v>
      </c>
      <c r="B580" s="5" t="s">
        <v>284</v>
      </c>
      <c r="C580" s="12">
        <v>45943</v>
      </c>
      <c r="D580" s="5" t="s">
        <v>324</v>
      </c>
      <c r="E580" s="6">
        <v>19483</v>
      </c>
      <c r="F580" s="5">
        <v>2025</v>
      </c>
    </row>
    <row r="581" spans="1:6" x14ac:dyDescent="0.25">
      <c r="A581" s="5" t="s">
        <v>904</v>
      </c>
      <c r="B581" s="5" t="s">
        <v>284</v>
      </c>
      <c r="C581" s="12">
        <v>45988</v>
      </c>
      <c r="D581" s="5" t="s">
        <v>324</v>
      </c>
      <c r="E581" s="6">
        <v>36218</v>
      </c>
      <c r="F581" s="5">
        <v>2025</v>
      </c>
    </row>
    <row r="582" spans="1:6" x14ac:dyDescent="0.25">
      <c r="A582" s="5" t="s">
        <v>905</v>
      </c>
      <c r="B582" s="5" t="s">
        <v>284</v>
      </c>
      <c r="C582" s="12">
        <v>45954</v>
      </c>
      <c r="D582" s="5" t="s">
        <v>324</v>
      </c>
      <c r="E582" s="6">
        <v>7752</v>
      </c>
      <c r="F582" s="5">
        <v>2025</v>
      </c>
    </row>
    <row r="583" spans="1:6" x14ac:dyDescent="0.25">
      <c r="A583" s="5" t="s">
        <v>906</v>
      </c>
      <c r="B583" s="5" t="s">
        <v>284</v>
      </c>
      <c r="C583" s="12">
        <v>45978</v>
      </c>
      <c r="D583" s="5" t="s">
        <v>12</v>
      </c>
      <c r="E583" s="6">
        <v>27235</v>
      </c>
      <c r="F583" s="5">
        <v>2025</v>
      </c>
    </row>
    <row r="584" spans="1:6" x14ac:dyDescent="0.25">
      <c r="A584" s="5" t="s">
        <v>907</v>
      </c>
      <c r="B584" s="5" t="s">
        <v>284</v>
      </c>
      <c r="C584" s="12">
        <v>46003</v>
      </c>
      <c r="D584" s="5" t="s">
        <v>12</v>
      </c>
      <c r="E584" s="6">
        <v>10005</v>
      </c>
      <c r="F584" s="5">
        <v>2025</v>
      </c>
    </row>
    <row r="585" spans="1:6" x14ac:dyDescent="0.25">
      <c r="A585" s="5" t="s">
        <v>908</v>
      </c>
      <c r="B585" s="5" t="s">
        <v>284</v>
      </c>
      <c r="C585" s="12">
        <v>46022</v>
      </c>
      <c r="D585" s="5" t="s">
        <v>330</v>
      </c>
      <c r="E585" s="6">
        <v>11589</v>
      </c>
      <c r="F585" s="5">
        <v>2025</v>
      </c>
    </row>
    <row r="586" spans="1:6" x14ac:dyDescent="0.25">
      <c r="A586" s="5" t="s">
        <v>909</v>
      </c>
      <c r="B586" s="5" t="s">
        <v>284</v>
      </c>
      <c r="C586" s="12">
        <v>45953</v>
      </c>
      <c r="D586" s="5" t="s">
        <v>330</v>
      </c>
      <c r="E586" s="6">
        <v>14734</v>
      </c>
      <c r="F586" s="5">
        <v>2025</v>
      </c>
    </row>
    <row r="587" spans="1:6" x14ac:dyDescent="0.25">
      <c r="A587" s="5" t="s">
        <v>910</v>
      </c>
      <c r="B587" s="5" t="s">
        <v>284</v>
      </c>
      <c r="C587" s="12">
        <v>45956</v>
      </c>
      <c r="D587" s="5" t="s">
        <v>330</v>
      </c>
      <c r="E587" s="6">
        <v>2959</v>
      </c>
      <c r="F587" s="5">
        <v>2025</v>
      </c>
    </row>
    <row r="588" spans="1:6" x14ac:dyDescent="0.25">
      <c r="A588" s="5" t="s">
        <v>911</v>
      </c>
      <c r="B588" s="5" t="s">
        <v>284</v>
      </c>
      <c r="C588" s="12">
        <v>45984</v>
      </c>
      <c r="D588" s="5" t="s">
        <v>330</v>
      </c>
      <c r="E588" s="6">
        <v>17592</v>
      </c>
      <c r="F588" s="5">
        <v>2025</v>
      </c>
    </row>
    <row r="589" spans="1:6" x14ac:dyDescent="0.25">
      <c r="A589" s="5" t="s">
        <v>912</v>
      </c>
      <c r="B589" s="5" t="s">
        <v>284</v>
      </c>
      <c r="C589" s="12">
        <v>46000</v>
      </c>
      <c r="D589" s="5" t="s">
        <v>330</v>
      </c>
      <c r="E589" s="6">
        <v>3480</v>
      </c>
      <c r="F589" s="5">
        <v>2025</v>
      </c>
    </row>
    <row r="590" spans="1:6" x14ac:dyDescent="0.25">
      <c r="A590" s="5" t="s">
        <v>913</v>
      </c>
      <c r="B590" s="5" t="s">
        <v>287</v>
      </c>
      <c r="C590" s="12">
        <v>45823</v>
      </c>
      <c r="D590" s="5" t="s">
        <v>324</v>
      </c>
      <c r="E590" s="6">
        <v>4380</v>
      </c>
      <c r="F590" s="5">
        <v>2025</v>
      </c>
    </row>
    <row r="591" spans="1:6" x14ac:dyDescent="0.25">
      <c r="A591" s="5" t="s">
        <v>914</v>
      </c>
      <c r="B591" s="5" t="s">
        <v>287</v>
      </c>
      <c r="C591" s="12">
        <v>45825</v>
      </c>
      <c r="D591" s="5" t="s">
        <v>324</v>
      </c>
      <c r="E591" s="6">
        <v>10984</v>
      </c>
      <c r="F591" s="5">
        <v>2025</v>
      </c>
    </row>
    <row r="592" spans="1:6" x14ac:dyDescent="0.25">
      <c r="A592" s="5" t="s">
        <v>915</v>
      </c>
      <c r="B592" s="5" t="s">
        <v>287</v>
      </c>
      <c r="C592" s="12">
        <v>45844</v>
      </c>
      <c r="D592" s="5" t="s">
        <v>324</v>
      </c>
      <c r="E592" s="6">
        <v>12039</v>
      </c>
      <c r="F592" s="5">
        <v>2025</v>
      </c>
    </row>
    <row r="593" spans="1:6" x14ac:dyDescent="0.25">
      <c r="A593" s="5" t="s">
        <v>916</v>
      </c>
      <c r="B593" s="5" t="s">
        <v>287</v>
      </c>
      <c r="C593" s="12">
        <v>45874</v>
      </c>
      <c r="D593" s="5" t="s">
        <v>12</v>
      </c>
      <c r="E593" s="6">
        <v>6206</v>
      </c>
      <c r="F593" s="5">
        <v>2025</v>
      </c>
    </row>
    <row r="594" spans="1:6" x14ac:dyDescent="0.25">
      <c r="A594" s="5" t="s">
        <v>917</v>
      </c>
      <c r="B594" s="5" t="s">
        <v>287</v>
      </c>
      <c r="C594" s="12">
        <v>45853</v>
      </c>
      <c r="D594" s="5" t="s">
        <v>12</v>
      </c>
      <c r="E594" s="6">
        <v>3801</v>
      </c>
      <c r="F594" s="5">
        <v>2025</v>
      </c>
    </row>
    <row r="595" spans="1:6" x14ac:dyDescent="0.25">
      <c r="A595" s="5" t="s">
        <v>918</v>
      </c>
      <c r="B595" s="5" t="s">
        <v>287</v>
      </c>
      <c r="C595" s="12">
        <v>45849</v>
      </c>
      <c r="D595" s="5" t="s">
        <v>12</v>
      </c>
      <c r="E595" s="6">
        <v>1805</v>
      </c>
      <c r="F595" s="5">
        <v>2025</v>
      </c>
    </row>
    <row r="596" spans="1:6" x14ac:dyDescent="0.25">
      <c r="A596" s="5" t="s">
        <v>919</v>
      </c>
      <c r="B596" s="5" t="s">
        <v>287</v>
      </c>
      <c r="C596" s="12">
        <v>45849</v>
      </c>
      <c r="D596" s="5" t="s">
        <v>330</v>
      </c>
      <c r="E596" s="6">
        <v>2010</v>
      </c>
      <c r="F596" s="5">
        <v>2025</v>
      </c>
    </row>
    <row r="597" spans="1:6" x14ac:dyDescent="0.25">
      <c r="A597" s="5" t="s">
        <v>920</v>
      </c>
      <c r="B597" s="5" t="s">
        <v>287</v>
      </c>
      <c r="C597" s="12">
        <v>45823</v>
      </c>
      <c r="D597" s="5" t="s">
        <v>330</v>
      </c>
      <c r="E597" s="6">
        <v>1776</v>
      </c>
      <c r="F597" s="5">
        <v>2025</v>
      </c>
    </row>
    <row r="598" spans="1:6" x14ac:dyDescent="0.25">
      <c r="A598" s="5" t="s">
        <v>921</v>
      </c>
      <c r="B598" s="5" t="s">
        <v>287</v>
      </c>
      <c r="C598" s="12">
        <v>45867</v>
      </c>
      <c r="D598" s="5" t="s">
        <v>330</v>
      </c>
      <c r="E598" s="6">
        <v>1180</v>
      </c>
      <c r="F598" s="5">
        <v>2025</v>
      </c>
    </row>
    <row r="599" spans="1:6" x14ac:dyDescent="0.25">
      <c r="A599" s="5" t="s">
        <v>922</v>
      </c>
      <c r="B599" s="5" t="s">
        <v>287</v>
      </c>
      <c r="C599" s="12">
        <v>45862</v>
      </c>
      <c r="D599" s="5" t="s">
        <v>330</v>
      </c>
      <c r="E599" s="6">
        <v>6732</v>
      </c>
      <c r="F599" s="5">
        <v>2025</v>
      </c>
    </row>
    <row r="600" spans="1:6" x14ac:dyDescent="0.25">
      <c r="A600" s="5" t="s">
        <v>923</v>
      </c>
      <c r="B600" s="5" t="s">
        <v>287</v>
      </c>
      <c r="C600" s="12">
        <v>45844</v>
      </c>
      <c r="D600" s="5" t="s">
        <v>330</v>
      </c>
      <c r="E600" s="6">
        <v>5232</v>
      </c>
      <c r="F600" s="5">
        <v>2025</v>
      </c>
    </row>
    <row r="601" spans="1:6" x14ac:dyDescent="0.25">
      <c r="A601" s="5" t="s">
        <v>924</v>
      </c>
      <c r="B601" s="5" t="s">
        <v>289</v>
      </c>
      <c r="C601" s="12">
        <v>45961</v>
      </c>
      <c r="D601" s="5" t="s">
        <v>324</v>
      </c>
      <c r="E601" s="6">
        <v>26250</v>
      </c>
      <c r="F601" s="5">
        <v>2025</v>
      </c>
    </row>
    <row r="602" spans="1:6" x14ac:dyDescent="0.25">
      <c r="A602" s="5" t="s">
        <v>925</v>
      </c>
      <c r="B602" s="5" t="s">
        <v>289</v>
      </c>
      <c r="C602" s="12">
        <v>45954</v>
      </c>
      <c r="D602" s="5" t="s">
        <v>324</v>
      </c>
      <c r="E602" s="6">
        <v>7788</v>
      </c>
      <c r="F602" s="5">
        <v>2025</v>
      </c>
    </row>
    <row r="603" spans="1:6" x14ac:dyDescent="0.25">
      <c r="A603" s="5" t="s">
        <v>926</v>
      </c>
      <c r="B603" s="5" t="s">
        <v>289</v>
      </c>
      <c r="C603" s="12">
        <v>45982</v>
      </c>
      <c r="D603" s="5" t="s">
        <v>12</v>
      </c>
      <c r="E603" s="6">
        <v>5641</v>
      </c>
      <c r="F603" s="5">
        <v>2025</v>
      </c>
    </row>
    <row r="604" spans="1:6" x14ac:dyDescent="0.25">
      <c r="A604" s="5" t="s">
        <v>927</v>
      </c>
      <c r="B604" s="5" t="s">
        <v>289</v>
      </c>
      <c r="C604" s="12">
        <v>45998</v>
      </c>
      <c r="D604" s="5" t="s">
        <v>12</v>
      </c>
      <c r="E604" s="6">
        <v>1883</v>
      </c>
      <c r="F604" s="5">
        <v>2025</v>
      </c>
    </row>
    <row r="605" spans="1:6" x14ac:dyDescent="0.25">
      <c r="A605" s="5" t="s">
        <v>928</v>
      </c>
      <c r="B605" s="5" t="s">
        <v>289</v>
      </c>
      <c r="C605" s="12">
        <v>45991</v>
      </c>
      <c r="D605" s="5" t="s">
        <v>12</v>
      </c>
      <c r="E605" s="6">
        <v>7148</v>
      </c>
      <c r="F605" s="5">
        <v>2025</v>
      </c>
    </row>
    <row r="606" spans="1:6" x14ac:dyDescent="0.25">
      <c r="A606" s="5" t="s">
        <v>929</v>
      </c>
      <c r="B606" s="5" t="s">
        <v>289</v>
      </c>
      <c r="C606" s="12">
        <v>45964</v>
      </c>
      <c r="D606" s="5" t="s">
        <v>330</v>
      </c>
      <c r="E606" s="6">
        <v>5082</v>
      </c>
      <c r="F606" s="5">
        <v>2025</v>
      </c>
    </row>
    <row r="607" spans="1:6" x14ac:dyDescent="0.25">
      <c r="A607" s="5" t="s">
        <v>930</v>
      </c>
      <c r="B607" s="5" t="s">
        <v>289</v>
      </c>
      <c r="C607" s="12">
        <v>45955</v>
      </c>
      <c r="D607" s="5" t="s">
        <v>330</v>
      </c>
      <c r="E607" s="6">
        <v>6775</v>
      </c>
      <c r="F607" s="5">
        <v>2025</v>
      </c>
    </row>
    <row r="608" spans="1:6" x14ac:dyDescent="0.25">
      <c r="A608" s="5" t="s">
        <v>931</v>
      </c>
      <c r="B608" s="5" t="s">
        <v>289</v>
      </c>
      <c r="C608" s="12">
        <v>45959</v>
      </c>
      <c r="D608" s="5" t="s">
        <v>330</v>
      </c>
      <c r="E608" s="6">
        <v>2627</v>
      </c>
      <c r="F608" s="5">
        <v>2025</v>
      </c>
    </row>
    <row r="609" spans="1:6" x14ac:dyDescent="0.25">
      <c r="A609" s="5" t="s">
        <v>932</v>
      </c>
      <c r="B609" s="5" t="s">
        <v>289</v>
      </c>
      <c r="C609" s="12">
        <v>45955</v>
      </c>
      <c r="D609" s="5" t="s">
        <v>330</v>
      </c>
      <c r="E609" s="6">
        <v>6544</v>
      </c>
      <c r="F609" s="5">
        <v>2025</v>
      </c>
    </row>
    <row r="610" spans="1:6" x14ac:dyDescent="0.25">
      <c r="A610" s="5" t="s">
        <v>933</v>
      </c>
      <c r="B610" s="5" t="s">
        <v>291</v>
      </c>
      <c r="C610" s="12">
        <v>45710</v>
      </c>
      <c r="D610" s="5" t="s">
        <v>324</v>
      </c>
      <c r="E610" s="6">
        <v>49753</v>
      </c>
      <c r="F610" s="5">
        <v>2025</v>
      </c>
    </row>
    <row r="611" spans="1:6" x14ac:dyDescent="0.25">
      <c r="A611" s="5" t="s">
        <v>934</v>
      </c>
      <c r="B611" s="5" t="s">
        <v>291</v>
      </c>
      <c r="C611" s="12">
        <v>45740</v>
      </c>
      <c r="D611" s="5" t="s">
        <v>324</v>
      </c>
      <c r="E611" s="6">
        <v>22397</v>
      </c>
      <c r="F611" s="5">
        <v>2025</v>
      </c>
    </row>
    <row r="612" spans="1:6" x14ac:dyDescent="0.25">
      <c r="A612" s="5" t="s">
        <v>935</v>
      </c>
      <c r="B612" s="5" t="s">
        <v>291</v>
      </c>
      <c r="C612" s="12">
        <v>45801</v>
      </c>
      <c r="D612" s="5" t="s">
        <v>12</v>
      </c>
      <c r="E612" s="6">
        <v>36287</v>
      </c>
      <c r="F612" s="5">
        <v>2025</v>
      </c>
    </row>
    <row r="613" spans="1:6" x14ac:dyDescent="0.25">
      <c r="A613" s="5" t="s">
        <v>936</v>
      </c>
      <c r="B613" s="5" t="s">
        <v>291</v>
      </c>
      <c r="C613" s="12">
        <v>45792</v>
      </c>
      <c r="D613" s="5" t="s">
        <v>330</v>
      </c>
      <c r="E613" s="6">
        <v>13653</v>
      </c>
      <c r="F613" s="5">
        <v>2025</v>
      </c>
    </row>
    <row r="614" spans="1:6" x14ac:dyDescent="0.25">
      <c r="A614" s="5" t="s">
        <v>937</v>
      </c>
      <c r="B614" s="5" t="s">
        <v>291</v>
      </c>
      <c r="C614" s="12">
        <v>45875</v>
      </c>
      <c r="D614" s="5" t="s">
        <v>330</v>
      </c>
      <c r="E614" s="6">
        <v>18771</v>
      </c>
      <c r="F614" s="5">
        <v>2025</v>
      </c>
    </row>
    <row r="615" spans="1:6" x14ac:dyDescent="0.25">
      <c r="A615" s="5" t="s">
        <v>938</v>
      </c>
      <c r="B615" s="5" t="s">
        <v>291</v>
      </c>
      <c r="C615" s="12">
        <v>45865</v>
      </c>
      <c r="D615" s="5" t="s">
        <v>330</v>
      </c>
      <c r="E615" s="6">
        <v>8021</v>
      </c>
      <c r="F615" s="5">
        <v>2025</v>
      </c>
    </row>
    <row r="616" spans="1:6" x14ac:dyDescent="0.25">
      <c r="A616" s="5" t="s">
        <v>939</v>
      </c>
      <c r="B616" s="5" t="s">
        <v>291</v>
      </c>
      <c r="C616" s="12">
        <v>45802</v>
      </c>
      <c r="D616" s="5" t="s">
        <v>330</v>
      </c>
      <c r="E616" s="6">
        <v>4648</v>
      </c>
      <c r="F616" s="5">
        <v>2025</v>
      </c>
    </row>
    <row r="617" spans="1:6" x14ac:dyDescent="0.25">
      <c r="A617" s="5" t="s">
        <v>940</v>
      </c>
      <c r="B617" s="5" t="s">
        <v>291</v>
      </c>
      <c r="C617" s="12">
        <v>45850</v>
      </c>
      <c r="D617" s="5" t="s">
        <v>330</v>
      </c>
      <c r="E617" s="6">
        <v>3972</v>
      </c>
      <c r="F617" s="5">
        <v>2025</v>
      </c>
    </row>
    <row r="618" spans="1:6" x14ac:dyDescent="0.25">
      <c r="A618" s="5" t="s">
        <v>941</v>
      </c>
      <c r="B618" s="5" t="s">
        <v>294</v>
      </c>
      <c r="C618" s="12">
        <v>45887</v>
      </c>
      <c r="D618" s="5" t="s">
        <v>324</v>
      </c>
      <c r="E618" s="6">
        <v>8422</v>
      </c>
      <c r="F618" s="5">
        <v>2025</v>
      </c>
    </row>
    <row r="619" spans="1:6" x14ac:dyDescent="0.25">
      <c r="A619" s="5" t="s">
        <v>942</v>
      </c>
      <c r="B619" s="5" t="s">
        <v>294</v>
      </c>
      <c r="C619" s="12">
        <v>45897</v>
      </c>
      <c r="D619" s="5" t="s">
        <v>324</v>
      </c>
      <c r="E619" s="6">
        <v>54911</v>
      </c>
      <c r="F619" s="5">
        <v>2025</v>
      </c>
    </row>
    <row r="620" spans="1:6" x14ac:dyDescent="0.25">
      <c r="A620" s="5" t="s">
        <v>943</v>
      </c>
      <c r="B620" s="5" t="s">
        <v>294</v>
      </c>
      <c r="C620" s="12">
        <v>45916</v>
      </c>
      <c r="D620" s="5" t="s">
        <v>324</v>
      </c>
      <c r="E620" s="6">
        <v>24832</v>
      </c>
      <c r="F620" s="5">
        <v>2025</v>
      </c>
    </row>
    <row r="621" spans="1:6" x14ac:dyDescent="0.25">
      <c r="A621" s="5" t="s">
        <v>944</v>
      </c>
      <c r="B621" s="5" t="s">
        <v>294</v>
      </c>
      <c r="C621" s="12">
        <v>45960</v>
      </c>
      <c r="D621" s="5" t="s">
        <v>12</v>
      </c>
      <c r="E621" s="6">
        <v>14080</v>
      </c>
      <c r="F621" s="5">
        <v>2025</v>
      </c>
    </row>
    <row r="622" spans="1:6" x14ac:dyDescent="0.25">
      <c r="A622" s="5" t="s">
        <v>945</v>
      </c>
      <c r="B622" s="5" t="s">
        <v>294</v>
      </c>
      <c r="C622" s="12">
        <v>45908</v>
      </c>
      <c r="D622" s="5" t="s">
        <v>12</v>
      </c>
      <c r="E622" s="6">
        <v>20201</v>
      </c>
      <c r="F622" s="5">
        <v>2025</v>
      </c>
    </row>
    <row r="623" spans="1:6" x14ac:dyDescent="0.25">
      <c r="A623" s="5" t="s">
        <v>946</v>
      </c>
      <c r="B623" s="5" t="s">
        <v>294</v>
      </c>
      <c r="C623" s="12">
        <v>45961</v>
      </c>
      <c r="D623" s="5" t="s">
        <v>12</v>
      </c>
      <c r="E623" s="6">
        <v>3723</v>
      </c>
      <c r="F623" s="5">
        <v>2025</v>
      </c>
    </row>
    <row r="624" spans="1:6" x14ac:dyDescent="0.25">
      <c r="A624" s="5" t="s">
        <v>947</v>
      </c>
      <c r="B624" s="5" t="s">
        <v>294</v>
      </c>
      <c r="C624" s="12">
        <v>45968</v>
      </c>
      <c r="D624" s="5" t="s">
        <v>330</v>
      </c>
      <c r="E624" s="6">
        <v>4209</v>
      </c>
      <c r="F624" s="5">
        <v>2025</v>
      </c>
    </row>
    <row r="625" spans="1:6" x14ac:dyDescent="0.25">
      <c r="A625" s="5" t="s">
        <v>948</v>
      </c>
      <c r="B625" s="5" t="s">
        <v>294</v>
      </c>
      <c r="C625" s="12">
        <v>45947</v>
      </c>
      <c r="D625" s="5" t="s">
        <v>330</v>
      </c>
      <c r="E625" s="6">
        <v>14096</v>
      </c>
      <c r="F625" s="5">
        <v>2025</v>
      </c>
    </row>
    <row r="626" spans="1:6" x14ac:dyDescent="0.25">
      <c r="A626" s="5" t="s">
        <v>949</v>
      </c>
      <c r="B626" s="5" t="s">
        <v>294</v>
      </c>
      <c r="C626" s="12">
        <v>45943</v>
      </c>
      <c r="D626" s="5" t="s">
        <v>330</v>
      </c>
      <c r="E626" s="6">
        <v>7645</v>
      </c>
      <c r="F626" s="5">
        <v>2025</v>
      </c>
    </row>
    <row r="627" spans="1:6" x14ac:dyDescent="0.25">
      <c r="A627" s="5" t="s">
        <v>950</v>
      </c>
      <c r="B627" s="5" t="s">
        <v>294</v>
      </c>
      <c r="C627" s="12">
        <v>45902</v>
      </c>
      <c r="D627" s="5" t="s">
        <v>330</v>
      </c>
      <c r="E627" s="6">
        <v>5936</v>
      </c>
      <c r="F627" s="5">
        <v>2025</v>
      </c>
    </row>
    <row r="628" spans="1:6" x14ac:dyDescent="0.25">
      <c r="A628" s="5" t="s">
        <v>951</v>
      </c>
      <c r="B628" s="5" t="s">
        <v>294</v>
      </c>
      <c r="C628" s="12">
        <v>45909</v>
      </c>
      <c r="D628" s="5" t="s">
        <v>330</v>
      </c>
      <c r="E628" s="6">
        <v>22579</v>
      </c>
      <c r="F628" s="5">
        <v>2025</v>
      </c>
    </row>
    <row r="629" spans="1:6" x14ac:dyDescent="0.25">
      <c r="A629" s="5" t="s">
        <v>952</v>
      </c>
      <c r="B629" s="5" t="s">
        <v>296</v>
      </c>
      <c r="C629" s="12">
        <v>45673</v>
      </c>
      <c r="D629" s="5" t="s">
        <v>324</v>
      </c>
      <c r="E629" s="6">
        <v>8979</v>
      </c>
      <c r="F629" s="5">
        <v>2025</v>
      </c>
    </row>
    <row r="630" spans="1:6" x14ac:dyDescent="0.25">
      <c r="A630" s="5" t="s">
        <v>953</v>
      </c>
      <c r="B630" s="5" t="s">
        <v>296</v>
      </c>
      <c r="C630" s="12">
        <v>45675</v>
      </c>
      <c r="D630" s="5" t="s">
        <v>324</v>
      </c>
      <c r="E630" s="6">
        <v>36441</v>
      </c>
      <c r="F630" s="5">
        <v>2025</v>
      </c>
    </row>
    <row r="631" spans="1:6" x14ac:dyDescent="0.25">
      <c r="A631" s="5" t="s">
        <v>954</v>
      </c>
      <c r="B631" s="5" t="s">
        <v>296</v>
      </c>
      <c r="C631" s="12">
        <v>45775</v>
      </c>
      <c r="D631" s="5" t="s">
        <v>12</v>
      </c>
      <c r="E631" s="6">
        <v>19578</v>
      </c>
      <c r="F631" s="5">
        <v>2025</v>
      </c>
    </row>
    <row r="632" spans="1:6" x14ac:dyDescent="0.25">
      <c r="A632" s="5" t="s">
        <v>955</v>
      </c>
      <c r="B632" s="5" t="s">
        <v>296</v>
      </c>
      <c r="C632" s="12">
        <v>45747</v>
      </c>
      <c r="D632" s="5" t="s">
        <v>330</v>
      </c>
      <c r="E632" s="6">
        <v>9350</v>
      </c>
      <c r="F632" s="5">
        <v>2025</v>
      </c>
    </row>
    <row r="633" spans="1:6" x14ac:dyDescent="0.25">
      <c r="A633" s="5" t="s">
        <v>956</v>
      </c>
      <c r="B633" s="5" t="s">
        <v>296</v>
      </c>
      <c r="C633" s="12">
        <v>45746</v>
      </c>
      <c r="D633" s="5" t="s">
        <v>330</v>
      </c>
      <c r="E633" s="6">
        <v>4571</v>
      </c>
      <c r="F633" s="5">
        <v>2025</v>
      </c>
    </row>
    <row r="634" spans="1:6" x14ac:dyDescent="0.25">
      <c r="A634" s="5" t="s">
        <v>957</v>
      </c>
      <c r="B634" s="5" t="s">
        <v>296</v>
      </c>
      <c r="C634" s="12">
        <v>45703</v>
      </c>
      <c r="D634" s="5" t="s">
        <v>330</v>
      </c>
      <c r="E634" s="6">
        <v>7654</v>
      </c>
      <c r="F634" s="5">
        <v>2025</v>
      </c>
    </row>
    <row r="635" spans="1:6" x14ac:dyDescent="0.25">
      <c r="A635" s="5" t="s">
        <v>958</v>
      </c>
      <c r="B635" s="5" t="s">
        <v>296</v>
      </c>
      <c r="C635" s="12">
        <v>45742</v>
      </c>
      <c r="D635" s="5" t="s">
        <v>330</v>
      </c>
      <c r="E635" s="6">
        <v>6485</v>
      </c>
      <c r="F635" s="5">
        <v>2025</v>
      </c>
    </row>
    <row r="636" spans="1:6" x14ac:dyDescent="0.25">
      <c r="A636" s="5" t="s">
        <v>959</v>
      </c>
      <c r="B636" s="5" t="s">
        <v>299</v>
      </c>
      <c r="C636" s="12">
        <v>45867</v>
      </c>
      <c r="D636" s="5" t="s">
        <v>324</v>
      </c>
      <c r="E636" s="6">
        <v>30678</v>
      </c>
      <c r="F636" s="5">
        <v>2025</v>
      </c>
    </row>
    <row r="637" spans="1:6" x14ac:dyDescent="0.25">
      <c r="A637" s="5" t="s">
        <v>960</v>
      </c>
      <c r="B637" s="5" t="s">
        <v>299</v>
      </c>
      <c r="C637" s="12">
        <v>45913</v>
      </c>
      <c r="D637" s="5" t="s">
        <v>324</v>
      </c>
      <c r="E637" s="6">
        <v>33386</v>
      </c>
      <c r="F637" s="5">
        <v>2025</v>
      </c>
    </row>
    <row r="638" spans="1:6" x14ac:dyDescent="0.25">
      <c r="A638" s="5" t="s">
        <v>961</v>
      </c>
      <c r="B638" s="5" t="s">
        <v>299</v>
      </c>
      <c r="C638" s="12">
        <v>45904</v>
      </c>
      <c r="D638" s="5" t="s">
        <v>324</v>
      </c>
      <c r="E638" s="6">
        <v>6406</v>
      </c>
      <c r="F638" s="5">
        <v>2025</v>
      </c>
    </row>
    <row r="639" spans="1:6" x14ac:dyDescent="0.25">
      <c r="A639" s="5" t="s">
        <v>962</v>
      </c>
      <c r="B639" s="5" t="s">
        <v>299</v>
      </c>
      <c r="C639" s="12">
        <v>45858</v>
      </c>
      <c r="D639" s="5" t="s">
        <v>324</v>
      </c>
      <c r="E639" s="6">
        <v>20044</v>
      </c>
      <c r="F639" s="5">
        <v>2025</v>
      </c>
    </row>
    <row r="640" spans="1:6" x14ac:dyDescent="0.25">
      <c r="A640" s="5" t="s">
        <v>963</v>
      </c>
      <c r="B640" s="5" t="s">
        <v>299</v>
      </c>
      <c r="C640" s="12">
        <v>45989</v>
      </c>
      <c r="D640" s="5" t="s">
        <v>12</v>
      </c>
      <c r="E640" s="6">
        <v>26833</v>
      </c>
      <c r="F640" s="5">
        <v>2025</v>
      </c>
    </row>
    <row r="641" spans="1:6" x14ac:dyDescent="0.25">
      <c r="A641" s="5" t="s">
        <v>964</v>
      </c>
      <c r="B641" s="5" t="s">
        <v>299</v>
      </c>
      <c r="C641" s="12">
        <v>45978</v>
      </c>
      <c r="D641" s="5" t="s">
        <v>12</v>
      </c>
      <c r="E641" s="6">
        <v>18690</v>
      </c>
      <c r="F641" s="5">
        <v>2025</v>
      </c>
    </row>
    <row r="642" spans="1:6" x14ac:dyDescent="0.25">
      <c r="A642" s="5" t="s">
        <v>965</v>
      </c>
      <c r="B642" s="5" t="s">
        <v>299</v>
      </c>
      <c r="C642" s="12">
        <v>45892</v>
      </c>
      <c r="D642" s="5" t="s">
        <v>330</v>
      </c>
      <c r="E642" s="6">
        <v>23834</v>
      </c>
      <c r="F642" s="5">
        <v>2025</v>
      </c>
    </row>
    <row r="643" spans="1:6" x14ac:dyDescent="0.25">
      <c r="A643" s="5" t="s">
        <v>966</v>
      </c>
      <c r="B643" s="5" t="s">
        <v>299</v>
      </c>
      <c r="C643" s="12">
        <v>45899</v>
      </c>
      <c r="D643" s="5" t="s">
        <v>330</v>
      </c>
      <c r="E643" s="6">
        <v>5316</v>
      </c>
      <c r="F643" s="5">
        <v>2025</v>
      </c>
    </row>
    <row r="644" spans="1:6" x14ac:dyDescent="0.25">
      <c r="A644" s="5" t="s">
        <v>967</v>
      </c>
      <c r="B644" s="5" t="s">
        <v>299</v>
      </c>
      <c r="C644" s="12">
        <v>45952</v>
      </c>
      <c r="D644" s="5" t="s">
        <v>330</v>
      </c>
      <c r="E644" s="6">
        <v>15709</v>
      </c>
      <c r="F644" s="5">
        <v>2025</v>
      </c>
    </row>
    <row r="645" spans="1:6" x14ac:dyDescent="0.25">
      <c r="A645" s="5" t="s">
        <v>968</v>
      </c>
      <c r="B645" s="5" t="s">
        <v>299</v>
      </c>
      <c r="C645" s="12">
        <v>45976</v>
      </c>
      <c r="D645" s="5" t="s">
        <v>330</v>
      </c>
      <c r="E645" s="6">
        <v>16695</v>
      </c>
      <c r="F645" s="5">
        <v>2025</v>
      </c>
    </row>
    <row r="646" spans="1:6" x14ac:dyDescent="0.25">
      <c r="A646" s="5" t="s">
        <v>969</v>
      </c>
      <c r="B646" s="5" t="s">
        <v>302</v>
      </c>
      <c r="C646" s="12">
        <v>45800</v>
      </c>
      <c r="D646" s="5" t="s">
        <v>324</v>
      </c>
      <c r="E646" s="6">
        <v>31145</v>
      </c>
      <c r="F646" s="5">
        <v>2025</v>
      </c>
    </row>
    <row r="647" spans="1:6" x14ac:dyDescent="0.25">
      <c r="A647" s="5" t="s">
        <v>970</v>
      </c>
      <c r="B647" s="5" t="s">
        <v>302</v>
      </c>
      <c r="C647" s="12">
        <v>45773</v>
      </c>
      <c r="D647" s="5" t="s">
        <v>324</v>
      </c>
      <c r="E647" s="6">
        <v>42854</v>
      </c>
      <c r="F647" s="5">
        <v>2025</v>
      </c>
    </row>
    <row r="648" spans="1:6" x14ac:dyDescent="0.25">
      <c r="A648" s="5" t="s">
        <v>971</v>
      </c>
      <c r="B648" s="5" t="s">
        <v>302</v>
      </c>
      <c r="C648" s="12">
        <v>45860</v>
      </c>
      <c r="D648" s="5" t="s">
        <v>12</v>
      </c>
      <c r="E648" s="6">
        <v>37217</v>
      </c>
      <c r="F648" s="5">
        <v>2025</v>
      </c>
    </row>
    <row r="649" spans="1:6" x14ac:dyDescent="0.25">
      <c r="A649" s="5" t="s">
        <v>972</v>
      </c>
      <c r="B649" s="5" t="s">
        <v>302</v>
      </c>
      <c r="C649" s="12">
        <v>45782</v>
      </c>
      <c r="D649" s="5" t="s">
        <v>330</v>
      </c>
      <c r="E649" s="6">
        <v>6819</v>
      </c>
      <c r="F649" s="5">
        <v>2025</v>
      </c>
    </row>
    <row r="650" spans="1:6" x14ac:dyDescent="0.25">
      <c r="A650" s="5" t="s">
        <v>973</v>
      </c>
      <c r="B650" s="5" t="s">
        <v>302</v>
      </c>
      <c r="C650" s="12">
        <v>45846</v>
      </c>
      <c r="D650" s="5" t="s">
        <v>330</v>
      </c>
      <c r="E650" s="6">
        <v>12206</v>
      </c>
      <c r="F650" s="5">
        <v>2025</v>
      </c>
    </row>
    <row r="651" spans="1:6" x14ac:dyDescent="0.25">
      <c r="A651" s="5" t="s">
        <v>974</v>
      </c>
      <c r="B651" s="5" t="s">
        <v>302</v>
      </c>
      <c r="C651" s="12">
        <v>45717</v>
      </c>
      <c r="D651" s="5" t="s">
        <v>330</v>
      </c>
      <c r="E651" s="6">
        <v>15013</v>
      </c>
      <c r="F651" s="5">
        <v>2025</v>
      </c>
    </row>
    <row r="652" spans="1:6" x14ac:dyDescent="0.25">
      <c r="A652" s="5" t="s">
        <v>975</v>
      </c>
      <c r="B652" s="5" t="s">
        <v>302</v>
      </c>
      <c r="C652" s="12">
        <v>45865</v>
      </c>
      <c r="D652" s="5" t="s">
        <v>330</v>
      </c>
      <c r="E652" s="6">
        <v>13277</v>
      </c>
      <c r="F652" s="5">
        <v>2025</v>
      </c>
    </row>
    <row r="653" spans="1:6" x14ac:dyDescent="0.25">
      <c r="A653" s="5" t="s">
        <v>976</v>
      </c>
      <c r="B653" s="5" t="s">
        <v>302</v>
      </c>
      <c r="C653" s="12">
        <v>45729</v>
      </c>
      <c r="D653" s="5" t="s">
        <v>330</v>
      </c>
      <c r="E653" s="6">
        <v>3009</v>
      </c>
      <c r="F653" s="5">
        <v>2025</v>
      </c>
    </row>
    <row r="654" spans="1:6" x14ac:dyDescent="0.25">
      <c r="A654" s="5" t="s">
        <v>977</v>
      </c>
      <c r="B654" s="5" t="s">
        <v>305</v>
      </c>
      <c r="C654" s="12">
        <v>45980</v>
      </c>
      <c r="D654" s="5" t="s">
        <v>324</v>
      </c>
      <c r="E654" s="6">
        <v>53902</v>
      </c>
      <c r="F654" s="5">
        <v>2025</v>
      </c>
    </row>
    <row r="655" spans="1:6" x14ac:dyDescent="0.25">
      <c r="A655" s="5" t="s">
        <v>978</v>
      </c>
      <c r="B655" s="5" t="s">
        <v>305</v>
      </c>
      <c r="C655" s="12">
        <v>45899</v>
      </c>
      <c r="D655" s="5" t="s">
        <v>324</v>
      </c>
      <c r="E655" s="6">
        <v>102825</v>
      </c>
      <c r="F655" s="5">
        <v>2025</v>
      </c>
    </row>
    <row r="656" spans="1:6" x14ac:dyDescent="0.25">
      <c r="A656" s="5" t="s">
        <v>979</v>
      </c>
      <c r="B656" s="5" t="s">
        <v>305</v>
      </c>
      <c r="C656" s="12">
        <v>46022</v>
      </c>
      <c r="D656" s="5" t="s">
        <v>12</v>
      </c>
      <c r="E656" s="6">
        <v>78824</v>
      </c>
      <c r="F656" s="5">
        <v>2025</v>
      </c>
    </row>
    <row r="657" spans="1:6" x14ac:dyDescent="0.25">
      <c r="A657" s="5" t="s">
        <v>980</v>
      </c>
      <c r="B657" s="5" t="s">
        <v>305</v>
      </c>
      <c r="C657" s="12">
        <v>45925</v>
      </c>
      <c r="D657" s="5" t="s">
        <v>330</v>
      </c>
      <c r="E657" s="6">
        <v>20477</v>
      </c>
      <c r="F657" s="5">
        <v>2025</v>
      </c>
    </row>
    <row r="658" spans="1:6" x14ac:dyDescent="0.25">
      <c r="A658" s="5" t="s">
        <v>981</v>
      </c>
      <c r="B658" s="5" t="s">
        <v>305</v>
      </c>
      <c r="C658" s="12">
        <v>45996</v>
      </c>
      <c r="D658" s="5" t="s">
        <v>330</v>
      </c>
      <c r="E658" s="6">
        <v>55245</v>
      </c>
      <c r="F658" s="5">
        <v>2025</v>
      </c>
    </row>
    <row r="659" spans="1:6" x14ac:dyDescent="0.25">
      <c r="A659" s="5" t="s">
        <v>982</v>
      </c>
      <c r="B659" s="5" t="s">
        <v>305</v>
      </c>
      <c r="C659" s="12">
        <v>46022</v>
      </c>
      <c r="D659" s="5" t="s">
        <v>330</v>
      </c>
      <c r="E659" s="6">
        <v>6188</v>
      </c>
      <c r="F659" s="5">
        <v>2025</v>
      </c>
    </row>
    <row r="660" spans="1:6" x14ac:dyDescent="0.25">
      <c r="A660" s="5" t="s">
        <v>983</v>
      </c>
      <c r="B660" s="5" t="s">
        <v>305</v>
      </c>
      <c r="C660" s="12">
        <v>46022</v>
      </c>
      <c r="D660" s="5" t="s">
        <v>330</v>
      </c>
      <c r="E660" s="6">
        <v>9063</v>
      </c>
      <c r="F660" s="5">
        <v>2025</v>
      </c>
    </row>
    <row r="661" spans="1:6" x14ac:dyDescent="0.25">
      <c r="A661" s="5" t="s">
        <v>984</v>
      </c>
      <c r="B661" s="5" t="s">
        <v>305</v>
      </c>
      <c r="C661" s="12">
        <v>46022</v>
      </c>
      <c r="D661" s="5" t="s">
        <v>330</v>
      </c>
      <c r="E661" s="6">
        <v>15608</v>
      </c>
      <c r="F661" s="5">
        <v>2025</v>
      </c>
    </row>
    <row r="662" spans="1:6" x14ac:dyDescent="0.25">
      <c r="A662" s="5" t="s">
        <v>985</v>
      </c>
      <c r="B662" s="5" t="s">
        <v>308</v>
      </c>
      <c r="C662" s="12">
        <v>45824</v>
      </c>
      <c r="D662" s="5" t="s">
        <v>324</v>
      </c>
      <c r="E662" s="6">
        <v>24739</v>
      </c>
      <c r="F662" s="5">
        <v>2025</v>
      </c>
    </row>
    <row r="663" spans="1:6" x14ac:dyDescent="0.25">
      <c r="A663" s="5" t="s">
        <v>986</v>
      </c>
      <c r="B663" s="5" t="s">
        <v>308</v>
      </c>
      <c r="C663" s="12">
        <v>45825</v>
      </c>
      <c r="D663" s="5" t="s">
        <v>324</v>
      </c>
      <c r="E663" s="6">
        <v>23303</v>
      </c>
      <c r="F663" s="5">
        <v>2025</v>
      </c>
    </row>
    <row r="664" spans="1:6" x14ac:dyDescent="0.25">
      <c r="A664" s="5" t="s">
        <v>987</v>
      </c>
      <c r="B664" s="5" t="s">
        <v>308</v>
      </c>
      <c r="C664" s="12">
        <v>45814</v>
      </c>
      <c r="D664" s="5" t="s">
        <v>324</v>
      </c>
      <c r="E664" s="6">
        <v>22775</v>
      </c>
      <c r="F664" s="5">
        <v>2025</v>
      </c>
    </row>
    <row r="665" spans="1:6" x14ac:dyDescent="0.25">
      <c r="A665" s="5" t="s">
        <v>988</v>
      </c>
      <c r="B665" s="5" t="s">
        <v>308</v>
      </c>
      <c r="C665" s="12">
        <v>45857</v>
      </c>
      <c r="D665" s="5" t="s">
        <v>12</v>
      </c>
      <c r="E665" s="6">
        <v>26134</v>
      </c>
      <c r="F665" s="5">
        <v>2025</v>
      </c>
    </row>
    <row r="666" spans="1:6" x14ac:dyDescent="0.25">
      <c r="A666" s="5" t="s">
        <v>989</v>
      </c>
      <c r="B666" s="5" t="s">
        <v>308</v>
      </c>
      <c r="C666" s="12">
        <v>45876</v>
      </c>
      <c r="D666" s="5" t="s">
        <v>12</v>
      </c>
      <c r="E666" s="6">
        <v>4392</v>
      </c>
      <c r="F666" s="5">
        <v>2025</v>
      </c>
    </row>
    <row r="667" spans="1:6" x14ac:dyDescent="0.25">
      <c r="A667" s="5" t="s">
        <v>990</v>
      </c>
      <c r="B667" s="5" t="s">
        <v>308</v>
      </c>
      <c r="C667" s="12">
        <v>45847</v>
      </c>
      <c r="D667" s="5" t="s">
        <v>330</v>
      </c>
      <c r="E667" s="6">
        <v>8205</v>
      </c>
      <c r="F667" s="5">
        <v>2025</v>
      </c>
    </row>
    <row r="668" spans="1:6" x14ac:dyDescent="0.25">
      <c r="A668" s="5" t="s">
        <v>991</v>
      </c>
      <c r="B668" s="5" t="s">
        <v>308</v>
      </c>
      <c r="C668" s="12">
        <v>45807</v>
      </c>
      <c r="D668" s="5" t="s">
        <v>330</v>
      </c>
      <c r="E668" s="6">
        <v>10962</v>
      </c>
      <c r="F668" s="5">
        <v>2025</v>
      </c>
    </row>
    <row r="669" spans="1:6" x14ac:dyDescent="0.25">
      <c r="A669" s="5" t="s">
        <v>992</v>
      </c>
      <c r="B669" s="5" t="s">
        <v>308</v>
      </c>
      <c r="C669" s="12">
        <v>45849</v>
      </c>
      <c r="D669" s="5" t="s">
        <v>330</v>
      </c>
      <c r="E669" s="6">
        <v>16493</v>
      </c>
      <c r="F669" s="5">
        <v>2025</v>
      </c>
    </row>
    <row r="670" spans="1:6" x14ac:dyDescent="0.25">
      <c r="A670" s="5" t="s">
        <v>993</v>
      </c>
      <c r="B670" s="5" t="s">
        <v>308</v>
      </c>
      <c r="C670" s="12">
        <v>45854</v>
      </c>
      <c r="D670" s="5" t="s">
        <v>330</v>
      </c>
      <c r="E670" s="6">
        <v>2602</v>
      </c>
      <c r="F670" s="5">
        <v>2025</v>
      </c>
    </row>
    <row r="671" spans="1:6" x14ac:dyDescent="0.25">
      <c r="A671" s="5" t="s">
        <v>994</v>
      </c>
      <c r="B671" s="5" t="s">
        <v>308</v>
      </c>
      <c r="C671" s="12">
        <v>45853</v>
      </c>
      <c r="D671" s="5" t="s">
        <v>330</v>
      </c>
      <c r="E671" s="6">
        <v>5487</v>
      </c>
      <c r="F671" s="5">
        <v>2025</v>
      </c>
    </row>
    <row r="672" spans="1:6" x14ac:dyDescent="0.25">
      <c r="A672" s="5" t="s">
        <v>995</v>
      </c>
      <c r="B672" s="5" t="s">
        <v>311</v>
      </c>
      <c r="C672" s="12">
        <v>45722</v>
      </c>
      <c r="D672" s="5" t="s">
        <v>324</v>
      </c>
      <c r="E672" s="6">
        <v>20986</v>
      </c>
      <c r="F672" s="5">
        <v>2025</v>
      </c>
    </row>
    <row r="673" spans="1:6" x14ac:dyDescent="0.25">
      <c r="A673" s="5" t="s">
        <v>996</v>
      </c>
      <c r="B673" s="5" t="s">
        <v>311</v>
      </c>
      <c r="C673" s="12">
        <v>45751</v>
      </c>
      <c r="D673" s="5" t="s">
        <v>324</v>
      </c>
      <c r="E673" s="6">
        <v>73332</v>
      </c>
      <c r="F673" s="5">
        <v>2025</v>
      </c>
    </row>
    <row r="674" spans="1:6" x14ac:dyDescent="0.25">
      <c r="A674" s="5" t="s">
        <v>997</v>
      </c>
      <c r="B674" s="5" t="s">
        <v>311</v>
      </c>
      <c r="C674" s="12">
        <v>45756</v>
      </c>
      <c r="D674" s="5" t="s">
        <v>324</v>
      </c>
      <c r="E674" s="6">
        <v>40190</v>
      </c>
      <c r="F674" s="5">
        <v>2025</v>
      </c>
    </row>
    <row r="675" spans="1:6" x14ac:dyDescent="0.25">
      <c r="A675" s="5" t="s">
        <v>998</v>
      </c>
      <c r="B675" s="5" t="s">
        <v>311</v>
      </c>
      <c r="C675" s="12">
        <v>45772</v>
      </c>
      <c r="D675" s="5" t="s">
        <v>12</v>
      </c>
      <c r="E675" s="6">
        <v>21878</v>
      </c>
      <c r="F675" s="5">
        <v>2025</v>
      </c>
    </row>
    <row r="676" spans="1:6" x14ac:dyDescent="0.25">
      <c r="A676" s="5" t="s">
        <v>999</v>
      </c>
      <c r="B676" s="5" t="s">
        <v>311</v>
      </c>
      <c r="C676" s="12">
        <v>45836</v>
      </c>
      <c r="D676" s="5" t="s">
        <v>12</v>
      </c>
      <c r="E676" s="6">
        <v>45771</v>
      </c>
      <c r="F676" s="5">
        <v>2025</v>
      </c>
    </row>
    <row r="677" spans="1:6" x14ac:dyDescent="0.25">
      <c r="A677" s="5" t="s">
        <v>1000</v>
      </c>
      <c r="B677" s="5" t="s">
        <v>311</v>
      </c>
      <c r="C677" s="12">
        <v>45788</v>
      </c>
      <c r="D677" s="5" t="s">
        <v>330</v>
      </c>
      <c r="E677" s="6">
        <v>40986</v>
      </c>
      <c r="F677" s="5">
        <v>2025</v>
      </c>
    </row>
    <row r="678" spans="1:6" x14ac:dyDescent="0.25">
      <c r="A678" s="5" t="s">
        <v>1001</v>
      </c>
      <c r="B678" s="5" t="s">
        <v>311</v>
      </c>
      <c r="C678" s="12">
        <v>45705</v>
      </c>
      <c r="D678" s="5" t="s">
        <v>330</v>
      </c>
      <c r="E678" s="6">
        <v>17637</v>
      </c>
      <c r="F678" s="5">
        <v>2025</v>
      </c>
    </row>
    <row r="679" spans="1:6" x14ac:dyDescent="0.25">
      <c r="A679" s="5" t="s">
        <v>1002</v>
      </c>
      <c r="B679" s="5" t="s">
        <v>311</v>
      </c>
      <c r="C679" s="12">
        <v>45800</v>
      </c>
      <c r="D679" s="5" t="s">
        <v>330</v>
      </c>
      <c r="E679" s="6">
        <v>32848</v>
      </c>
      <c r="F679" s="5">
        <v>2025</v>
      </c>
    </row>
    <row r="680" spans="1:6" x14ac:dyDescent="0.25">
      <c r="A680" s="5" t="s">
        <v>1003</v>
      </c>
      <c r="B680" s="5" t="s">
        <v>313</v>
      </c>
      <c r="C680" s="12">
        <v>45914</v>
      </c>
      <c r="D680" s="5" t="s">
        <v>324</v>
      </c>
      <c r="E680" s="6">
        <v>14416</v>
      </c>
      <c r="F680" s="5">
        <v>2025</v>
      </c>
    </row>
    <row r="681" spans="1:6" x14ac:dyDescent="0.25">
      <c r="A681" s="5" t="s">
        <v>1004</v>
      </c>
      <c r="B681" s="5" t="s">
        <v>313</v>
      </c>
      <c r="C681" s="12">
        <v>45911</v>
      </c>
      <c r="D681" s="5" t="s">
        <v>324</v>
      </c>
      <c r="E681" s="6">
        <v>72362</v>
      </c>
      <c r="F681" s="5">
        <v>2025</v>
      </c>
    </row>
    <row r="682" spans="1:6" x14ac:dyDescent="0.25">
      <c r="A682" s="5" t="s">
        <v>1005</v>
      </c>
      <c r="B682" s="5" t="s">
        <v>313</v>
      </c>
      <c r="C682" s="12">
        <v>45946</v>
      </c>
      <c r="D682" s="5" t="s">
        <v>12</v>
      </c>
      <c r="E682" s="6">
        <v>37406</v>
      </c>
      <c r="F682" s="5">
        <v>2025</v>
      </c>
    </row>
    <row r="683" spans="1:6" x14ac:dyDescent="0.25">
      <c r="A683" s="5" t="s">
        <v>1006</v>
      </c>
      <c r="B683" s="5" t="s">
        <v>313</v>
      </c>
      <c r="C683" s="12">
        <v>45923</v>
      </c>
      <c r="D683" s="5" t="s">
        <v>330</v>
      </c>
      <c r="E683" s="6">
        <v>17492</v>
      </c>
      <c r="F683" s="5">
        <v>2025</v>
      </c>
    </row>
    <row r="684" spans="1:6" x14ac:dyDescent="0.25">
      <c r="A684" s="5" t="s">
        <v>1007</v>
      </c>
      <c r="B684" s="5" t="s">
        <v>313</v>
      </c>
      <c r="C684" s="12">
        <v>45946</v>
      </c>
      <c r="D684" s="5" t="s">
        <v>330</v>
      </c>
      <c r="E684" s="6">
        <v>15278</v>
      </c>
      <c r="F684" s="5">
        <v>2025</v>
      </c>
    </row>
    <row r="685" spans="1:6" x14ac:dyDescent="0.25">
      <c r="A685" s="5" t="s">
        <v>1008</v>
      </c>
      <c r="B685" s="5" t="s">
        <v>313</v>
      </c>
      <c r="C685" s="12">
        <v>45913</v>
      </c>
      <c r="D685" s="5" t="s">
        <v>330</v>
      </c>
      <c r="E685" s="6">
        <v>5144</v>
      </c>
      <c r="F685" s="5">
        <v>2025</v>
      </c>
    </row>
    <row r="686" spans="1:6" x14ac:dyDescent="0.25">
      <c r="A686" s="5" t="s">
        <v>1009</v>
      </c>
      <c r="B686" s="5" t="s">
        <v>313</v>
      </c>
      <c r="C686" s="12">
        <v>45946</v>
      </c>
      <c r="D686" s="5" t="s">
        <v>330</v>
      </c>
      <c r="E686" s="6">
        <v>10740</v>
      </c>
      <c r="F686" s="5">
        <v>2025</v>
      </c>
    </row>
    <row r="687" spans="1:6" x14ac:dyDescent="0.25">
      <c r="A687" s="5" t="s">
        <v>1010</v>
      </c>
      <c r="B687" s="5" t="s">
        <v>313</v>
      </c>
      <c r="C687" s="12">
        <v>45919</v>
      </c>
      <c r="D687" s="5" t="s">
        <v>330</v>
      </c>
      <c r="E687" s="6">
        <v>4954</v>
      </c>
      <c r="F687" s="5">
        <v>2025</v>
      </c>
    </row>
    <row r="688" spans="1:6" x14ac:dyDescent="0.25">
      <c r="A688" s="5" t="s">
        <v>1011</v>
      </c>
      <c r="B688" s="5" t="s">
        <v>316</v>
      </c>
      <c r="C688" s="12">
        <v>45838</v>
      </c>
      <c r="D688" s="5" t="s">
        <v>324</v>
      </c>
      <c r="E688" s="6">
        <v>70773</v>
      </c>
      <c r="F688" s="5">
        <v>2025</v>
      </c>
    </row>
    <row r="689" spans="1:6" x14ac:dyDescent="0.25">
      <c r="A689" s="5" t="s">
        <v>1012</v>
      </c>
      <c r="B689" s="5" t="s">
        <v>316</v>
      </c>
      <c r="C689" s="12">
        <v>45838</v>
      </c>
      <c r="D689" s="5" t="s">
        <v>324</v>
      </c>
      <c r="E689" s="6">
        <v>54504</v>
      </c>
      <c r="F689" s="5">
        <v>2025</v>
      </c>
    </row>
    <row r="690" spans="1:6" x14ac:dyDescent="0.25">
      <c r="A690" s="5" t="s">
        <v>1013</v>
      </c>
      <c r="B690" s="5" t="s">
        <v>316</v>
      </c>
      <c r="C690" s="12">
        <v>45839</v>
      </c>
      <c r="D690" s="5" t="s">
        <v>324</v>
      </c>
      <c r="E690" s="6">
        <v>20748</v>
      </c>
      <c r="F690" s="5">
        <v>2025</v>
      </c>
    </row>
    <row r="691" spans="1:6" x14ac:dyDescent="0.25">
      <c r="A691" s="5" t="s">
        <v>1014</v>
      </c>
      <c r="B691" s="5" t="s">
        <v>316</v>
      </c>
      <c r="C691" s="12">
        <v>45899</v>
      </c>
      <c r="D691" s="5" t="s">
        <v>12</v>
      </c>
      <c r="E691" s="6">
        <v>21910</v>
      </c>
      <c r="F691" s="5">
        <v>2025</v>
      </c>
    </row>
    <row r="692" spans="1:6" x14ac:dyDescent="0.25">
      <c r="A692" s="5" t="s">
        <v>1015</v>
      </c>
      <c r="B692" s="5" t="s">
        <v>316</v>
      </c>
      <c r="C692" s="12">
        <v>45922</v>
      </c>
      <c r="D692" s="5" t="s">
        <v>12</v>
      </c>
      <c r="E692" s="6">
        <v>41035</v>
      </c>
      <c r="F692" s="5">
        <v>2025</v>
      </c>
    </row>
    <row r="693" spans="1:6" x14ac:dyDescent="0.25">
      <c r="A693" s="5" t="s">
        <v>1016</v>
      </c>
      <c r="B693" s="5" t="s">
        <v>316</v>
      </c>
      <c r="C693" s="12">
        <v>45813</v>
      </c>
      <c r="D693" s="5" t="s">
        <v>330</v>
      </c>
      <c r="E693" s="6">
        <v>66180</v>
      </c>
      <c r="F693" s="5">
        <v>2025</v>
      </c>
    </row>
    <row r="694" spans="1:6" x14ac:dyDescent="0.25">
      <c r="A694" s="5" t="s">
        <v>1017</v>
      </c>
      <c r="B694" s="5" t="s">
        <v>316</v>
      </c>
      <c r="C694" s="12">
        <v>45795</v>
      </c>
      <c r="D694" s="5" t="s">
        <v>330</v>
      </c>
      <c r="E694" s="6">
        <v>10594</v>
      </c>
      <c r="F694" s="5">
        <v>2025</v>
      </c>
    </row>
    <row r="695" spans="1:6" x14ac:dyDescent="0.25">
      <c r="A695" s="5" t="s">
        <v>1018</v>
      </c>
      <c r="B695" s="5" t="s">
        <v>316</v>
      </c>
      <c r="C695" s="12">
        <v>45888</v>
      </c>
      <c r="D695" s="5" t="s">
        <v>330</v>
      </c>
      <c r="E695" s="6">
        <v>13434</v>
      </c>
      <c r="F695" s="5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3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2" width="13" customWidth="1"/>
    <col min="3" max="3" width="14" customWidth="1"/>
    <col min="4" max="4" width="15" customWidth="1"/>
    <col min="5" max="5" width="12" customWidth="1"/>
    <col min="6" max="6" width="15" customWidth="1"/>
    <col min="7" max="10" width="13" hidden="1" customWidth="1"/>
  </cols>
  <sheetData>
    <row r="1" spans="1:10" x14ac:dyDescent="0.25">
      <c r="A1" s="11" t="s">
        <v>1019</v>
      </c>
      <c r="B1" s="11" t="s">
        <v>32</v>
      </c>
      <c r="C1" s="11" t="s">
        <v>1020</v>
      </c>
      <c r="D1" s="11" t="s">
        <v>1021</v>
      </c>
      <c r="E1" s="11" t="s">
        <v>321</v>
      </c>
      <c r="F1" s="11" t="s">
        <v>1022</v>
      </c>
      <c r="G1" s="13" t="s">
        <v>1023</v>
      </c>
      <c r="H1" s="13" t="s">
        <v>1024</v>
      </c>
      <c r="I1" s="13" t="s">
        <v>1025</v>
      </c>
      <c r="J1" s="13" t="s">
        <v>1026</v>
      </c>
    </row>
    <row r="2" spans="1:10" x14ac:dyDescent="0.25">
      <c r="A2" s="5" t="s">
        <v>1027</v>
      </c>
      <c r="B2" s="5" t="s">
        <v>45</v>
      </c>
      <c r="C2" s="12">
        <v>45135</v>
      </c>
      <c r="D2" s="12">
        <v>45180</v>
      </c>
      <c r="E2" s="6">
        <v>17480</v>
      </c>
      <c r="F2" s="12">
        <v>45192</v>
      </c>
      <c r="G2">
        <f t="shared" ref="G2:G65" si="0">IF(F2="",1,0)</f>
        <v>0</v>
      </c>
      <c r="H2">
        <f>IF(AND(G2=1,D2&lt;Synthese!$B$3),1,0)</f>
        <v>0</v>
      </c>
      <c r="I2">
        <f t="shared" ref="I2:I65" si="1">IF(G2=1,E2,0)</f>
        <v>0</v>
      </c>
      <c r="J2">
        <f t="shared" ref="J2:J65" si="2">IF(H2=1,E2,0)</f>
        <v>0</v>
      </c>
    </row>
    <row r="3" spans="1:10" x14ac:dyDescent="0.25">
      <c r="A3" s="5" t="s">
        <v>1028</v>
      </c>
      <c r="B3" s="5" t="s">
        <v>45</v>
      </c>
      <c r="C3" s="12">
        <v>45156</v>
      </c>
      <c r="D3" s="12">
        <v>45201</v>
      </c>
      <c r="E3" s="6">
        <v>26220</v>
      </c>
      <c r="F3" s="12"/>
      <c r="G3">
        <f t="shared" si="0"/>
        <v>1</v>
      </c>
      <c r="H3">
        <f>IF(AND(G3=1,D3&lt;Synthese!$B$3),1,0)</f>
        <v>1</v>
      </c>
      <c r="I3">
        <f t="shared" si="1"/>
        <v>26220</v>
      </c>
      <c r="J3">
        <f t="shared" si="2"/>
        <v>26220</v>
      </c>
    </row>
    <row r="4" spans="1:10" x14ac:dyDescent="0.25">
      <c r="A4" s="5" t="s">
        <v>1029</v>
      </c>
      <c r="B4" s="5" t="s">
        <v>52</v>
      </c>
      <c r="C4" s="12">
        <v>45238</v>
      </c>
      <c r="D4" s="12">
        <v>45283</v>
      </c>
      <c r="E4" s="6">
        <v>21795</v>
      </c>
      <c r="F4" s="12">
        <v>45285</v>
      </c>
      <c r="G4">
        <f t="shared" si="0"/>
        <v>0</v>
      </c>
      <c r="H4">
        <f>IF(AND(G4=1,D4&lt;Synthese!$B$3),1,0)</f>
        <v>0</v>
      </c>
      <c r="I4">
        <f t="shared" si="1"/>
        <v>0</v>
      </c>
      <c r="J4">
        <f t="shared" si="2"/>
        <v>0</v>
      </c>
    </row>
    <row r="5" spans="1:10" x14ac:dyDescent="0.25">
      <c r="A5" s="5" t="s">
        <v>1030</v>
      </c>
      <c r="B5" s="5" t="s">
        <v>52</v>
      </c>
      <c r="C5" s="12">
        <v>45267</v>
      </c>
      <c r="D5" s="12">
        <v>45297</v>
      </c>
      <c r="E5" s="6">
        <v>43590</v>
      </c>
      <c r="F5" s="12">
        <v>45302</v>
      </c>
      <c r="G5">
        <f t="shared" si="0"/>
        <v>0</v>
      </c>
      <c r="H5">
        <f>IF(AND(G5=1,D5&lt;Synthese!$B$3),1,0)</f>
        <v>0</v>
      </c>
      <c r="I5">
        <f t="shared" si="1"/>
        <v>0</v>
      </c>
      <c r="J5">
        <f t="shared" si="2"/>
        <v>0</v>
      </c>
    </row>
    <row r="6" spans="1:10" x14ac:dyDescent="0.25">
      <c r="A6" s="5" t="s">
        <v>1031</v>
      </c>
      <c r="B6" s="5" t="s">
        <v>52</v>
      </c>
      <c r="C6" s="12">
        <v>45307</v>
      </c>
      <c r="D6" s="12">
        <v>45337</v>
      </c>
      <c r="E6" s="6">
        <v>43590</v>
      </c>
      <c r="F6" s="12">
        <v>45338</v>
      </c>
      <c r="G6">
        <f t="shared" si="0"/>
        <v>0</v>
      </c>
      <c r="H6">
        <f>IF(AND(G6=1,D6&lt;Synthese!$B$3),1,0)</f>
        <v>0</v>
      </c>
      <c r="I6">
        <f t="shared" si="1"/>
        <v>0</v>
      </c>
      <c r="J6">
        <f t="shared" si="2"/>
        <v>0</v>
      </c>
    </row>
    <row r="7" spans="1:10" x14ac:dyDescent="0.25">
      <c r="A7" s="5" t="s">
        <v>1032</v>
      </c>
      <c r="B7" s="5" t="s">
        <v>52</v>
      </c>
      <c r="C7" s="12">
        <v>45350</v>
      </c>
      <c r="D7" s="12">
        <v>45395</v>
      </c>
      <c r="E7" s="6">
        <v>36325</v>
      </c>
      <c r="F7" s="12">
        <v>45396</v>
      </c>
      <c r="G7">
        <f t="shared" si="0"/>
        <v>0</v>
      </c>
      <c r="H7">
        <f>IF(AND(G7=1,D7&lt;Synthese!$B$3),1,0)</f>
        <v>0</v>
      </c>
      <c r="I7">
        <f t="shared" si="1"/>
        <v>0</v>
      </c>
      <c r="J7">
        <f t="shared" si="2"/>
        <v>0</v>
      </c>
    </row>
    <row r="8" spans="1:10" x14ac:dyDescent="0.25">
      <c r="A8" s="5" t="s">
        <v>1033</v>
      </c>
      <c r="B8" s="5" t="s">
        <v>59</v>
      </c>
      <c r="C8" s="12">
        <v>45268</v>
      </c>
      <c r="D8" s="12">
        <v>45313</v>
      </c>
      <c r="E8" s="6">
        <v>16275</v>
      </c>
      <c r="F8" s="12">
        <v>45314</v>
      </c>
      <c r="G8">
        <f t="shared" si="0"/>
        <v>0</v>
      </c>
      <c r="H8">
        <f>IF(AND(G8=1,D8&lt;Synthese!$B$3),1,0)</f>
        <v>0</v>
      </c>
      <c r="I8">
        <f t="shared" si="1"/>
        <v>0</v>
      </c>
      <c r="J8">
        <f t="shared" si="2"/>
        <v>0</v>
      </c>
    </row>
    <row r="9" spans="1:10" x14ac:dyDescent="0.25">
      <c r="A9" s="5" t="s">
        <v>1034</v>
      </c>
      <c r="B9" s="5" t="s">
        <v>59</v>
      </c>
      <c r="C9" s="12">
        <v>45316</v>
      </c>
      <c r="D9" s="12">
        <v>45361</v>
      </c>
      <c r="E9" s="6">
        <v>22785</v>
      </c>
      <c r="F9" s="12">
        <v>45364</v>
      </c>
      <c r="G9">
        <f t="shared" si="0"/>
        <v>0</v>
      </c>
      <c r="H9">
        <f>IF(AND(G9=1,D9&lt;Synthese!$B$3),1,0)</f>
        <v>0</v>
      </c>
      <c r="I9">
        <f t="shared" si="1"/>
        <v>0</v>
      </c>
      <c r="J9">
        <f t="shared" si="2"/>
        <v>0</v>
      </c>
    </row>
    <row r="10" spans="1:10" x14ac:dyDescent="0.25">
      <c r="A10" s="5" t="s">
        <v>1035</v>
      </c>
      <c r="B10" s="5" t="s">
        <v>59</v>
      </c>
      <c r="C10" s="12">
        <v>45355</v>
      </c>
      <c r="D10" s="12">
        <v>45400</v>
      </c>
      <c r="E10" s="6">
        <v>26040</v>
      </c>
      <c r="F10" s="12">
        <v>45403</v>
      </c>
      <c r="G10">
        <f t="shared" si="0"/>
        <v>0</v>
      </c>
      <c r="H10">
        <f>IF(AND(G10=1,D10&lt;Synthese!$B$3),1,0)</f>
        <v>0</v>
      </c>
      <c r="I10">
        <f t="shared" si="1"/>
        <v>0</v>
      </c>
      <c r="J10">
        <f t="shared" si="2"/>
        <v>0</v>
      </c>
    </row>
    <row r="11" spans="1:10" x14ac:dyDescent="0.25">
      <c r="A11" s="5" t="s">
        <v>1036</v>
      </c>
      <c r="B11" s="5" t="s">
        <v>64</v>
      </c>
      <c r="C11" s="12">
        <v>45030</v>
      </c>
      <c r="D11" s="12">
        <v>45075</v>
      </c>
      <c r="E11" s="6">
        <v>28525</v>
      </c>
      <c r="F11" s="12">
        <v>45079</v>
      </c>
      <c r="G11">
        <f t="shared" si="0"/>
        <v>0</v>
      </c>
      <c r="H11">
        <f>IF(AND(G11=1,D11&lt;Synthese!$B$3),1,0)</f>
        <v>0</v>
      </c>
      <c r="I11">
        <f t="shared" si="1"/>
        <v>0</v>
      </c>
      <c r="J11">
        <f t="shared" si="2"/>
        <v>0</v>
      </c>
    </row>
    <row r="12" spans="1:10" x14ac:dyDescent="0.25">
      <c r="A12" s="5" t="s">
        <v>1037</v>
      </c>
      <c r="B12" s="5" t="s">
        <v>64</v>
      </c>
      <c r="C12" s="12">
        <v>45087</v>
      </c>
      <c r="D12" s="12">
        <v>45117</v>
      </c>
      <c r="E12" s="6">
        <v>39935</v>
      </c>
      <c r="F12" s="12">
        <v>45119</v>
      </c>
      <c r="G12">
        <f t="shared" si="0"/>
        <v>0</v>
      </c>
      <c r="H12">
        <f>IF(AND(G12=1,D12&lt;Synthese!$B$3),1,0)</f>
        <v>0</v>
      </c>
      <c r="I12">
        <f t="shared" si="1"/>
        <v>0</v>
      </c>
      <c r="J12">
        <f t="shared" si="2"/>
        <v>0</v>
      </c>
    </row>
    <row r="13" spans="1:10" x14ac:dyDescent="0.25">
      <c r="A13" s="5" t="s">
        <v>1038</v>
      </c>
      <c r="B13" s="5" t="s">
        <v>64</v>
      </c>
      <c r="C13" s="12">
        <v>45136</v>
      </c>
      <c r="D13" s="12">
        <v>45166</v>
      </c>
      <c r="E13" s="6">
        <v>45640</v>
      </c>
      <c r="F13" s="12">
        <v>45166</v>
      </c>
      <c r="G13">
        <f t="shared" si="0"/>
        <v>0</v>
      </c>
      <c r="H13">
        <f>IF(AND(G13=1,D13&lt;Synthese!$B$3),1,0)</f>
        <v>0</v>
      </c>
      <c r="I13">
        <f t="shared" si="1"/>
        <v>0</v>
      </c>
      <c r="J13">
        <f t="shared" si="2"/>
        <v>0</v>
      </c>
    </row>
    <row r="14" spans="1:10" x14ac:dyDescent="0.25">
      <c r="A14" s="5" t="s">
        <v>1039</v>
      </c>
      <c r="B14" s="5" t="s">
        <v>70</v>
      </c>
      <c r="C14" s="12">
        <v>45079</v>
      </c>
      <c r="D14" s="12">
        <v>45124</v>
      </c>
      <c r="E14" s="6">
        <v>13800</v>
      </c>
      <c r="F14" s="12">
        <v>45124</v>
      </c>
      <c r="G14">
        <f t="shared" si="0"/>
        <v>0</v>
      </c>
      <c r="H14">
        <f>IF(AND(G14=1,D14&lt;Synthese!$B$3),1,0)</f>
        <v>0</v>
      </c>
      <c r="I14">
        <f t="shared" si="1"/>
        <v>0</v>
      </c>
      <c r="J14">
        <f t="shared" si="2"/>
        <v>0</v>
      </c>
    </row>
    <row r="15" spans="1:10" x14ac:dyDescent="0.25">
      <c r="A15" s="5" t="s">
        <v>1040</v>
      </c>
      <c r="B15" s="5" t="s">
        <v>70</v>
      </c>
      <c r="C15" s="12">
        <v>45109</v>
      </c>
      <c r="D15" s="12">
        <v>45154</v>
      </c>
      <c r="E15" s="6">
        <v>20700</v>
      </c>
      <c r="F15" s="12">
        <v>45154</v>
      </c>
      <c r="G15">
        <f t="shared" si="0"/>
        <v>0</v>
      </c>
      <c r="H15">
        <f>IF(AND(G15=1,D15&lt;Synthese!$B$3),1,0)</f>
        <v>0</v>
      </c>
      <c r="I15">
        <f t="shared" si="1"/>
        <v>0</v>
      </c>
      <c r="J15">
        <f t="shared" si="2"/>
        <v>0</v>
      </c>
    </row>
    <row r="16" spans="1:10" x14ac:dyDescent="0.25">
      <c r="A16" s="5" t="s">
        <v>1041</v>
      </c>
      <c r="B16" s="5" t="s">
        <v>76</v>
      </c>
      <c r="C16" s="12">
        <v>45079</v>
      </c>
      <c r="D16" s="12">
        <v>45139</v>
      </c>
      <c r="E16" s="6">
        <v>25925</v>
      </c>
      <c r="F16" s="12">
        <v>45139</v>
      </c>
      <c r="G16">
        <f t="shared" si="0"/>
        <v>0</v>
      </c>
      <c r="H16">
        <f>IF(AND(G16=1,D16&lt;Synthese!$B$3),1,0)</f>
        <v>0</v>
      </c>
      <c r="I16">
        <f t="shared" si="1"/>
        <v>0</v>
      </c>
      <c r="J16">
        <f t="shared" si="2"/>
        <v>0</v>
      </c>
    </row>
    <row r="17" spans="1:10" x14ac:dyDescent="0.25">
      <c r="A17" s="5" t="s">
        <v>1042</v>
      </c>
      <c r="B17" s="5" t="s">
        <v>76</v>
      </c>
      <c r="C17" s="12">
        <v>45150</v>
      </c>
      <c r="D17" s="12">
        <v>45210</v>
      </c>
      <c r="E17" s="6">
        <v>36295</v>
      </c>
      <c r="F17" s="12">
        <v>45214</v>
      </c>
      <c r="G17">
        <f t="shared" si="0"/>
        <v>0</v>
      </c>
      <c r="H17">
        <f>IF(AND(G17=1,D17&lt;Synthese!$B$3),1,0)</f>
        <v>0</v>
      </c>
      <c r="I17">
        <f t="shared" si="1"/>
        <v>0</v>
      </c>
      <c r="J17">
        <f t="shared" si="2"/>
        <v>0</v>
      </c>
    </row>
    <row r="18" spans="1:10" x14ac:dyDescent="0.25">
      <c r="A18" s="5" t="s">
        <v>1043</v>
      </c>
      <c r="B18" s="5" t="s">
        <v>76</v>
      </c>
      <c r="C18" s="12">
        <v>45197</v>
      </c>
      <c r="D18" s="12">
        <v>45242</v>
      </c>
      <c r="E18" s="6">
        <v>41480</v>
      </c>
      <c r="F18" s="12">
        <v>45275</v>
      </c>
      <c r="G18">
        <f t="shared" si="0"/>
        <v>0</v>
      </c>
      <c r="H18">
        <f>IF(AND(G18=1,D18&lt;Synthese!$B$3),1,0)</f>
        <v>0</v>
      </c>
      <c r="I18">
        <f t="shared" si="1"/>
        <v>0</v>
      </c>
      <c r="J18">
        <f t="shared" si="2"/>
        <v>0</v>
      </c>
    </row>
    <row r="19" spans="1:10" x14ac:dyDescent="0.25">
      <c r="A19" s="5" t="s">
        <v>1044</v>
      </c>
      <c r="B19" s="5" t="s">
        <v>81</v>
      </c>
      <c r="C19" s="12">
        <v>45106</v>
      </c>
      <c r="D19" s="12">
        <v>45166</v>
      </c>
      <c r="E19" s="6">
        <v>32975</v>
      </c>
      <c r="F19" s="12">
        <v>45175</v>
      </c>
      <c r="G19">
        <f t="shared" si="0"/>
        <v>0</v>
      </c>
      <c r="H19">
        <f>IF(AND(G19=1,D19&lt;Synthese!$B$3),1,0)</f>
        <v>0</v>
      </c>
      <c r="I19">
        <f t="shared" si="1"/>
        <v>0</v>
      </c>
      <c r="J19">
        <f t="shared" si="2"/>
        <v>0</v>
      </c>
    </row>
    <row r="20" spans="1:10" x14ac:dyDescent="0.25">
      <c r="A20" s="5" t="s">
        <v>1045</v>
      </c>
      <c r="B20" s="5" t="s">
        <v>81</v>
      </c>
      <c r="C20" s="12">
        <v>45117</v>
      </c>
      <c r="D20" s="12">
        <v>45177</v>
      </c>
      <c r="E20" s="6">
        <v>46165</v>
      </c>
      <c r="F20" s="12">
        <v>45200</v>
      </c>
      <c r="G20">
        <f t="shared" si="0"/>
        <v>0</v>
      </c>
      <c r="H20">
        <f>IF(AND(G20=1,D20&lt;Synthese!$B$3),1,0)</f>
        <v>0</v>
      </c>
      <c r="I20">
        <f t="shared" si="1"/>
        <v>0</v>
      </c>
      <c r="J20">
        <f t="shared" si="2"/>
        <v>0</v>
      </c>
    </row>
    <row r="21" spans="1:10" x14ac:dyDescent="0.25">
      <c r="A21" s="5" t="s">
        <v>1046</v>
      </c>
      <c r="B21" s="5" t="s">
        <v>81</v>
      </c>
      <c r="C21" s="12">
        <v>45140</v>
      </c>
      <c r="D21" s="12">
        <v>45200</v>
      </c>
      <c r="E21" s="6">
        <v>52760</v>
      </c>
      <c r="F21" s="12">
        <v>45240</v>
      </c>
      <c r="G21">
        <f t="shared" si="0"/>
        <v>0</v>
      </c>
      <c r="H21">
        <f>IF(AND(G21=1,D21&lt;Synthese!$B$3),1,0)</f>
        <v>0</v>
      </c>
      <c r="I21">
        <f t="shared" si="1"/>
        <v>0</v>
      </c>
      <c r="J21">
        <f t="shared" si="2"/>
        <v>0</v>
      </c>
    </row>
    <row r="22" spans="1:10" x14ac:dyDescent="0.25">
      <c r="A22" s="5" t="s">
        <v>1047</v>
      </c>
      <c r="B22" s="5" t="s">
        <v>85</v>
      </c>
      <c r="C22" s="12">
        <v>45039</v>
      </c>
      <c r="D22" s="12">
        <v>45084</v>
      </c>
      <c r="E22" s="6">
        <v>22695</v>
      </c>
      <c r="F22" s="12">
        <v>45084</v>
      </c>
      <c r="G22">
        <f t="shared" si="0"/>
        <v>0</v>
      </c>
      <c r="H22">
        <f>IF(AND(G22=1,D22&lt;Synthese!$B$3),1,0)</f>
        <v>0</v>
      </c>
      <c r="I22">
        <f t="shared" si="1"/>
        <v>0</v>
      </c>
      <c r="J22">
        <f t="shared" si="2"/>
        <v>0</v>
      </c>
    </row>
    <row r="23" spans="1:10" x14ac:dyDescent="0.25">
      <c r="A23" s="5" t="s">
        <v>1048</v>
      </c>
      <c r="B23" s="5" t="s">
        <v>85</v>
      </c>
      <c r="C23" s="12">
        <v>45058</v>
      </c>
      <c r="D23" s="12">
        <v>45118</v>
      </c>
      <c r="E23" s="6">
        <v>45390</v>
      </c>
      <c r="F23" s="12">
        <v>45146</v>
      </c>
      <c r="G23">
        <f t="shared" si="0"/>
        <v>0</v>
      </c>
      <c r="H23">
        <f>IF(AND(G23=1,D23&lt;Synthese!$B$3),1,0)</f>
        <v>0</v>
      </c>
      <c r="I23">
        <f t="shared" si="1"/>
        <v>0</v>
      </c>
      <c r="J23">
        <f t="shared" si="2"/>
        <v>0</v>
      </c>
    </row>
    <row r="24" spans="1:10" x14ac:dyDescent="0.25">
      <c r="A24" s="5" t="s">
        <v>1049</v>
      </c>
      <c r="B24" s="5" t="s">
        <v>85</v>
      </c>
      <c r="C24" s="12">
        <v>45097</v>
      </c>
      <c r="D24" s="12">
        <v>45142</v>
      </c>
      <c r="E24" s="6">
        <v>45390</v>
      </c>
      <c r="F24" s="12">
        <v>45143</v>
      </c>
      <c r="G24">
        <f t="shared" si="0"/>
        <v>0</v>
      </c>
      <c r="H24">
        <f>IF(AND(G24=1,D24&lt;Synthese!$B$3),1,0)</f>
        <v>0</v>
      </c>
      <c r="I24">
        <f t="shared" si="1"/>
        <v>0</v>
      </c>
      <c r="J24">
        <f t="shared" si="2"/>
        <v>0</v>
      </c>
    </row>
    <row r="25" spans="1:10" x14ac:dyDescent="0.25">
      <c r="A25" s="5" t="s">
        <v>1050</v>
      </c>
      <c r="B25" s="5" t="s">
        <v>85</v>
      </c>
      <c r="C25" s="12">
        <v>45126</v>
      </c>
      <c r="D25" s="12">
        <v>45186</v>
      </c>
      <c r="E25" s="6">
        <v>37825</v>
      </c>
      <c r="F25" s="12">
        <v>45188</v>
      </c>
      <c r="G25">
        <f t="shared" si="0"/>
        <v>0</v>
      </c>
      <c r="H25">
        <f>IF(AND(G25=1,D25&lt;Synthese!$B$3),1,0)</f>
        <v>0</v>
      </c>
      <c r="I25">
        <f t="shared" si="1"/>
        <v>0</v>
      </c>
      <c r="J25">
        <f t="shared" si="2"/>
        <v>0</v>
      </c>
    </row>
    <row r="26" spans="1:10" x14ac:dyDescent="0.25">
      <c r="A26" s="5" t="s">
        <v>1051</v>
      </c>
      <c r="B26" s="5" t="s">
        <v>90</v>
      </c>
      <c r="C26" s="12">
        <v>45210</v>
      </c>
      <c r="D26" s="12">
        <v>45255</v>
      </c>
      <c r="E26" s="6">
        <v>20400</v>
      </c>
      <c r="F26" s="12">
        <v>45254</v>
      </c>
      <c r="G26">
        <f t="shared" si="0"/>
        <v>0</v>
      </c>
      <c r="H26">
        <f>IF(AND(G26=1,D26&lt;Synthese!$B$3),1,0)</f>
        <v>0</v>
      </c>
      <c r="I26">
        <f t="shared" si="1"/>
        <v>0</v>
      </c>
      <c r="J26">
        <f t="shared" si="2"/>
        <v>0</v>
      </c>
    </row>
    <row r="27" spans="1:10" x14ac:dyDescent="0.25">
      <c r="A27" s="5" t="s">
        <v>1052</v>
      </c>
      <c r="B27" s="5" t="s">
        <v>90</v>
      </c>
      <c r="C27" s="12">
        <v>45226</v>
      </c>
      <c r="D27" s="12">
        <v>45271</v>
      </c>
      <c r="E27" s="6">
        <v>28560</v>
      </c>
      <c r="F27" s="12">
        <v>45290</v>
      </c>
      <c r="G27">
        <f t="shared" si="0"/>
        <v>0</v>
      </c>
      <c r="H27">
        <f>IF(AND(G27=1,D27&lt;Synthese!$B$3),1,0)</f>
        <v>0</v>
      </c>
      <c r="I27">
        <f t="shared" si="1"/>
        <v>0</v>
      </c>
      <c r="J27">
        <f t="shared" si="2"/>
        <v>0</v>
      </c>
    </row>
    <row r="28" spans="1:10" x14ac:dyDescent="0.25">
      <c r="A28" s="5" t="s">
        <v>1053</v>
      </c>
      <c r="B28" s="5" t="s">
        <v>90</v>
      </c>
      <c r="C28" s="12">
        <v>45254</v>
      </c>
      <c r="D28" s="12">
        <v>45299</v>
      </c>
      <c r="E28" s="6">
        <v>32640</v>
      </c>
      <c r="F28" s="12">
        <v>45301</v>
      </c>
      <c r="G28">
        <f t="shared" si="0"/>
        <v>0</v>
      </c>
      <c r="H28">
        <f>IF(AND(G28=1,D28&lt;Synthese!$B$3),1,0)</f>
        <v>0</v>
      </c>
      <c r="I28">
        <f t="shared" si="1"/>
        <v>0</v>
      </c>
      <c r="J28">
        <f t="shared" si="2"/>
        <v>0</v>
      </c>
    </row>
    <row r="29" spans="1:10" x14ac:dyDescent="0.25">
      <c r="A29" s="5" t="s">
        <v>1054</v>
      </c>
      <c r="B29" s="5" t="s">
        <v>95</v>
      </c>
      <c r="C29" s="12">
        <v>45098</v>
      </c>
      <c r="D29" s="12">
        <v>45143</v>
      </c>
      <c r="E29" s="6">
        <v>33060</v>
      </c>
      <c r="F29" s="12">
        <v>45146</v>
      </c>
      <c r="G29">
        <f t="shared" si="0"/>
        <v>0</v>
      </c>
      <c r="H29">
        <f>IF(AND(G29=1,D29&lt;Synthese!$B$3),1,0)</f>
        <v>0</v>
      </c>
      <c r="I29">
        <f t="shared" si="1"/>
        <v>0</v>
      </c>
      <c r="J29">
        <f t="shared" si="2"/>
        <v>0</v>
      </c>
    </row>
    <row r="30" spans="1:10" x14ac:dyDescent="0.25">
      <c r="A30" s="5" t="s">
        <v>1055</v>
      </c>
      <c r="B30" s="5" t="s">
        <v>95</v>
      </c>
      <c r="C30" s="12">
        <v>45120</v>
      </c>
      <c r="D30" s="12">
        <v>45165</v>
      </c>
      <c r="E30" s="6">
        <v>66120</v>
      </c>
      <c r="F30" s="12">
        <v>45169</v>
      </c>
      <c r="G30">
        <f t="shared" si="0"/>
        <v>0</v>
      </c>
      <c r="H30">
        <f>IF(AND(G30=1,D30&lt;Synthese!$B$3),1,0)</f>
        <v>0</v>
      </c>
      <c r="I30">
        <f t="shared" si="1"/>
        <v>0</v>
      </c>
      <c r="J30">
        <f t="shared" si="2"/>
        <v>0</v>
      </c>
    </row>
    <row r="31" spans="1:10" x14ac:dyDescent="0.25">
      <c r="A31" s="5" t="s">
        <v>1056</v>
      </c>
      <c r="B31" s="5" t="s">
        <v>95</v>
      </c>
      <c r="C31" s="12">
        <v>45150</v>
      </c>
      <c r="D31" s="12">
        <v>45180</v>
      </c>
      <c r="E31" s="6">
        <v>66120</v>
      </c>
      <c r="F31" s="12">
        <v>45177</v>
      </c>
      <c r="G31">
        <f t="shared" si="0"/>
        <v>0</v>
      </c>
      <c r="H31">
        <f>IF(AND(G31=1,D31&lt;Synthese!$B$3),1,0)</f>
        <v>0</v>
      </c>
      <c r="I31">
        <f t="shared" si="1"/>
        <v>0</v>
      </c>
      <c r="J31">
        <f t="shared" si="2"/>
        <v>0</v>
      </c>
    </row>
    <row r="32" spans="1:10" x14ac:dyDescent="0.25">
      <c r="A32" s="5" t="s">
        <v>1057</v>
      </c>
      <c r="B32" s="5" t="s">
        <v>95</v>
      </c>
      <c r="C32" s="12">
        <v>45186</v>
      </c>
      <c r="D32" s="12">
        <v>45231</v>
      </c>
      <c r="E32" s="6">
        <v>55100</v>
      </c>
      <c r="F32" s="12">
        <v>45231</v>
      </c>
      <c r="G32">
        <f t="shared" si="0"/>
        <v>0</v>
      </c>
      <c r="H32">
        <f>IF(AND(G32=1,D32&lt;Synthese!$B$3),1,0)</f>
        <v>0</v>
      </c>
      <c r="I32">
        <f t="shared" si="1"/>
        <v>0</v>
      </c>
      <c r="J32">
        <f t="shared" si="2"/>
        <v>0</v>
      </c>
    </row>
    <row r="33" spans="1:10" x14ac:dyDescent="0.25">
      <c r="A33" s="5" t="s">
        <v>1058</v>
      </c>
      <c r="B33" s="5" t="s">
        <v>100</v>
      </c>
      <c r="C33" s="12">
        <v>45246</v>
      </c>
      <c r="D33" s="12">
        <v>45276</v>
      </c>
      <c r="E33" s="6">
        <v>39090</v>
      </c>
      <c r="F33" s="12">
        <v>45273</v>
      </c>
      <c r="G33">
        <f t="shared" si="0"/>
        <v>0</v>
      </c>
      <c r="H33">
        <f>IF(AND(G33=1,D33&lt;Synthese!$B$3),1,0)</f>
        <v>0</v>
      </c>
      <c r="I33">
        <f t="shared" si="1"/>
        <v>0</v>
      </c>
      <c r="J33">
        <f t="shared" si="2"/>
        <v>0</v>
      </c>
    </row>
    <row r="34" spans="1:10" x14ac:dyDescent="0.25">
      <c r="A34" s="5" t="s">
        <v>1059</v>
      </c>
      <c r="B34" s="5" t="s">
        <v>100</v>
      </c>
      <c r="C34" s="12">
        <v>45293</v>
      </c>
      <c r="D34" s="12">
        <v>45338</v>
      </c>
      <c r="E34" s="6">
        <v>78180</v>
      </c>
      <c r="F34" s="12">
        <v>45364</v>
      </c>
      <c r="G34">
        <f t="shared" si="0"/>
        <v>0</v>
      </c>
      <c r="H34">
        <f>IF(AND(G34=1,D34&lt;Synthese!$B$3),1,0)</f>
        <v>0</v>
      </c>
      <c r="I34">
        <f t="shared" si="1"/>
        <v>0</v>
      </c>
      <c r="J34">
        <f t="shared" si="2"/>
        <v>0</v>
      </c>
    </row>
    <row r="35" spans="1:10" x14ac:dyDescent="0.25">
      <c r="A35" s="5" t="s">
        <v>1060</v>
      </c>
      <c r="B35" s="5" t="s">
        <v>100</v>
      </c>
      <c r="C35" s="12">
        <v>45340</v>
      </c>
      <c r="D35" s="12">
        <v>45370</v>
      </c>
      <c r="E35" s="6">
        <v>78180</v>
      </c>
      <c r="F35" s="12">
        <v>45372</v>
      </c>
      <c r="G35">
        <f t="shared" si="0"/>
        <v>0</v>
      </c>
      <c r="H35">
        <f>IF(AND(G35=1,D35&lt;Synthese!$B$3),1,0)</f>
        <v>0</v>
      </c>
      <c r="I35">
        <f t="shared" si="1"/>
        <v>0</v>
      </c>
      <c r="J35">
        <f t="shared" si="2"/>
        <v>0</v>
      </c>
    </row>
    <row r="36" spans="1:10" x14ac:dyDescent="0.25">
      <c r="A36" s="5" t="s">
        <v>1061</v>
      </c>
      <c r="B36" s="5" t="s">
        <v>100</v>
      </c>
      <c r="C36" s="12">
        <v>45398</v>
      </c>
      <c r="D36" s="12">
        <v>45443</v>
      </c>
      <c r="E36" s="6">
        <v>65150</v>
      </c>
      <c r="F36" s="12">
        <v>45444</v>
      </c>
      <c r="G36">
        <f t="shared" si="0"/>
        <v>0</v>
      </c>
      <c r="H36">
        <f>IF(AND(G36=1,D36&lt;Synthese!$B$3),1,0)</f>
        <v>0</v>
      </c>
      <c r="I36">
        <f t="shared" si="1"/>
        <v>0</v>
      </c>
      <c r="J36">
        <f t="shared" si="2"/>
        <v>0</v>
      </c>
    </row>
    <row r="37" spans="1:10" x14ac:dyDescent="0.25">
      <c r="A37" s="5" t="s">
        <v>1062</v>
      </c>
      <c r="B37" s="5" t="s">
        <v>104</v>
      </c>
      <c r="C37" s="12">
        <v>45112</v>
      </c>
      <c r="D37" s="12">
        <v>45142</v>
      </c>
      <c r="E37" s="6">
        <v>22350</v>
      </c>
      <c r="F37" s="12">
        <v>45147</v>
      </c>
      <c r="G37">
        <f t="shared" si="0"/>
        <v>0</v>
      </c>
      <c r="H37">
        <f>IF(AND(G37=1,D37&lt;Synthese!$B$3),1,0)</f>
        <v>0</v>
      </c>
      <c r="I37">
        <f t="shared" si="1"/>
        <v>0</v>
      </c>
      <c r="J37">
        <f t="shared" si="2"/>
        <v>0</v>
      </c>
    </row>
    <row r="38" spans="1:10" x14ac:dyDescent="0.25">
      <c r="A38" s="5" t="s">
        <v>1063</v>
      </c>
      <c r="B38" s="5" t="s">
        <v>104</v>
      </c>
      <c r="C38" s="12">
        <v>45142</v>
      </c>
      <c r="D38" s="12">
        <v>45172</v>
      </c>
      <c r="E38" s="6">
        <v>31290</v>
      </c>
      <c r="F38" s="12">
        <v>45171</v>
      </c>
      <c r="G38">
        <f t="shared" si="0"/>
        <v>0</v>
      </c>
      <c r="H38">
        <f>IF(AND(G38=1,D38&lt;Synthese!$B$3),1,0)</f>
        <v>0</v>
      </c>
      <c r="I38">
        <f t="shared" si="1"/>
        <v>0</v>
      </c>
      <c r="J38">
        <f t="shared" si="2"/>
        <v>0</v>
      </c>
    </row>
    <row r="39" spans="1:10" x14ac:dyDescent="0.25">
      <c r="A39" s="5" t="s">
        <v>1064</v>
      </c>
      <c r="B39" s="5" t="s">
        <v>104</v>
      </c>
      <c r="C39" s="12">
        <v>45179</v>
      </c>
      <c r="D39" s="12">
        <v>45224</v>
      </c>
      <c r="E39" s="6">
        <v>35760</v>
      </c>
      <c r="F39" s="12">
        <v>45236</v>
      </c>
      <c r="G39">
        <f t="shared" si="0"/>
        <v>0</v>
      </c>
      <c r="H39">
        <f>IF(AND(G39=1,D39&lt;Synthese!$B$3),1,0)</f>
        <v>0</v>
      </c>
      <c r="I39">
        <f t="shared" si="1"/>
        <v>0</v>
      </c>
      <c r="J39">
        <f t="shared" si="2"/>
        <v>0</v>
      </c>
    </row>
    <row r="40" spans="1:10" x14ac:dyDescent="0.25">
      <c r="A40" s="5" t="s">
        <v>1065</v>
      </c>
      <c r="B40" s="5" t="s">
        <v>107</v>
      </c>
      <c r="C40" s="12">
        <v>45197</v>
      </c>
      <c r="D40" s="12">
        <v>45257</v>
      </c>
      <c r="E40" s="6">
        <v>23650</v>
      </c>
      <c r="F40" s="12">
        <v>45311</v>
      </c>
      <c r="G40">
        <f t="shared" si="0"/>
        <v>0</v>
      </c>
      <c r="H40">
        <f>IF(AND(G40=1,D40&lt;Synthese!$B$3),1,0)</f>
        <v>0</v>
      </c>
      <c r="I40">
        <f t="shared" si="1"/>
        <v>0</v>
      </c>
      <c r="J40">
        <f t="shared" si="2"/>
        <v>0</v>
      </c>
    </row>
    <row r="41" spans="1:10" x14ac:dyDescent="0.25">
      <c r="A41" s="5" t="s">
        <v>1066</v>
      </c>
      <c r="B41" s="5" t="s">
        <v>107</v>
      </c>
      <c r="C41" s="12">
        <v>45251</v>
      </c>
      <c r="D41" s="12">
        <v>45311</v>
      </c>
      <c r="E41" s="6">
        <v>33110</v>
      </c>
      <c r="F41" s="12">
        <v>45327</v>
      </c>
      <c r="G41">
        <f t="shared" si="0"/>
        <v>0</v>
      </c>
      <c r="H41">
        <f>IF(AND(G41=1,D41&lt;Synthese!$B$3),1,0)</f>
        <v>0</v>
      </c>
      <c r="I41">
        <f t="shared" si="1"/>
        <v>0</v>
      </c>
      <c r="J41">
        <f t="shared" si="2"/>
        <v>0</v>
      </c>
    </row>
    <row r="42" spans="1:10" x14ac:dyDescent="0.25">
      <c r="A42" s="5" t="s">
        <v>1067</v>
      </c>
      <c r="B42" s="5" t="s">
        <v>107</v>
      </c>
      <c r="C42" s="12">
        <v>45321</v>
      </c>
      <c r="D42" s="12">
        <v>45381</v>
      </c>
      <c r="E42" s="6">
        <v>37840</v>
      </c>
      <c r="F42" s="12"/>
      <c r="G42">
        <f t="shared" si="0"/>
        <v>1</v>
      </c>
      <c r="H42">
        <f>IF(AND(G42=1,D42&lt;Synthese!$B$3),1,0)</f>
        <v>1</v>
      </c>
      <c r="I42">
        <f t="shared" si="1"/>
        <v>37840</v>
      </c>
      <c r="J42">
        <f t="shared" si="2"/>
        <v>37840</v>
      </c>
    </row>
    <row r="43" spans="1:10" x14ac:dyDescent="0.25">
      <c r="A43" s="5" t="s">
        <v>1068</v>
      </c>
      <c r="B43" s="5" t="s">
        <v>109</v>
      </c>
      <c r="C43" s="12">
        <v>45265</v>
      </c>
      <c r="D43" s="12">
        <v>45295</v>
      </c>
      <c r="E43" s="6">
        <v>14200</v>
      </c>
      <c r="F43" s="12">
        <v>45299</v>
      </c>
      <c r="G43">
        <f t="shared" si="0"/>
        <v>0</v>
      </c>
      <c r="H43">
        <f>IF(AND(G43=1,D43&lt;Synthese!$B$3),1,0)</f>
        <v>0</v>
      </c>
      <c r="I43">
        <f t="shared" si="1"/>
        <v>0</v>
      </c>
      <c r="J43">
        <f t="shared" si="2"/>
        <v>0</v>
      </c>
    </row>
    <row r="44" spans="1:10" x14ac:dyDescent="0.25">
      <c r="A44" s="5" t="s">
        <v>1069</v>
      </c>
      <c r="B44" s="5" t="s">
        <v>109</v>
      </c>
      <c r="C44" s="12">
        <v>45303</v>
      </c>
      <c r="D44" s="12">
        <v>45333</v>
      </c>
      <c r="E44" s="6">
        <v>21300</v>
      </c>
      <c r="F44" s="12">
        <v>45335</v>
      </c>
      <c r="G44">
        <f t="shared" si="0"/>
        <v>0</v>
      </c>
      <c r="H44">
        <f>IF(AND(G44=1,D44&lt;Synthese!$B$3),1,0)</f>
        <v>0</v>
      </c>
      <c r="I44">
        <f t="shared" si="1"/>
        <v>0</v>
      </c>
      <c r="J44">
        <f t="shared" si="2"/>
        <v>0</v>
      </c>
    </row>
    <row r="45" spans="1:10" x14ac:dyDescent="0.25">
      <c r="A45" s="5" t="s">
        <v>1070</v>
      </c>
      <c r="B45" s="5" t="s">
        <v>114</v>
      </c>
      <c r="C45" s="12">
        <v>45066</v>
      </c>
      <c r="D45" s="12">
        <v>45111</v>
      </c>
      <c r="E45" s="6">
        <v>28860</v>
      </c>
      <c r="F45" s="12">
        <v>45110</v>
      </c>
      <c r="G45">
        <f t="shared" si="0"/>
        <v>0</v>
      </c>
      <c r="H45">
        <f>IF(AND(G45=1,D45&lt;Synthese!$B$3),1,0)</f>
        <v>0</v>
      </c>
      <c r="I45">
        <f t="shared" si="1"/>
        <v>0</v>
      </c>
      <c r="J45">
        <f t="shared" si="2"/>
        <v>0</v>
      </c>
    </row>
    <row r="46" spans="1:10" x14ac:dyDescent="0.25">
      <c r="A46" s="5" t="s">
        <v>1071</v>
      </c>
      <c r="B46" s="5" t="s">
        <v>114</v>
      </c>
      <c r="C46" s="12">
        <v>45098</v>
      </c>
      <c r="D46" s="12">
        <v>45143</v>
      </c>
      <c r="E46" s="6">
        <v>57720</v>
      </c>
      <c r="F46" s="12">
        <v>45140</v>
      </c>
      <c r="G46">
        <f t="shared" si="0"/>
        <v>0</v>
      </c>
      <c r="H46">
        <f>IF(AND(G46=1,D46&lt;Synthese!$B$3),1,0)</f>
        <v>0</v>
      </c>
      <c r="I46">
        <f t="shared" si="1"/>
        <v>0</v>
      </c>
      <c r="J46">
        <f t="shared" si="2"/>
        <v>0</v>
      </c>
    </row>
    <row r="47" spans="1:10" x14ac:dyDescent="0.25">
      <c r="A47" s="5" t="s">
        <v>1072</v>
      </c>
      <c r="B47" s="5" t="s">
        <v>114</v>
      </c>
      <c r="C47" s="12">
        <v>45135</v>
      </c>
      <c r="D47" s="12">
        <v>45180</v>
      </c>
      <c r="E47" s="6">
        <v>57720</v>
      </c>
      <c r="F47" s="12">
        <v>45178</v>
      </c>
      <c r="G47">
        <f t="shared" si="0"/>
        <v>0</v>
      </c>
      <c r="H47">
        <f>IF(AND(G47=1,D47&lt;Synthese!$B$3),1,0)</f>
        <v>0</v>
      </c>
      <c r="I47">
        <f t="shared" si="1"/>
        <v>0</v>
      </c>
      <c r="J47">
        <f t="shared" si="2"/>
        <v>0</v>
      </c>
    </row>
    <row r="48" spans="1:10" x14ac:dyDescent="0.25">
      <c r="A48" s="5" t="s">
        <v>1073</v>
      </c>
      <c r="B48" s="5" t="s">
        <v>114</v>
      </c>
      <c r="C48" s="12">
        <v>45150</v>
      </c>
      <c r="D48" s="12">
        <v>45180</v>
      </c>
      <c r="E48" s="6">
        <v>48100</v>
      </c>
      <c r="F48" s="12">
        <v>45177</v>
      </c>
      <c r="G48">
        <f t="shared" si="0"/>
        <v>0</v>
      </c>
      <c r="H48">
        <f>IF(AND(G48=1,D48&lt;Synthese!$B$3),1,0)</f>
        <v>0</v>
      </c>
      <c r="I48">
        <f t="shared" si="1"/>
        <v>0</v>
      </c>
      <c r="J48">
        <f t="shared" si="2"/>
        <v>0</v>
      </c>
    </row>
    <row r="49" spans="1:10" x14ac:dyDescent="0.25">
      <c r="A49" s="5" t="s">
        <v>1074</v>
      </c>
      <c r="B49" s="5" t="s">
        <v>116</v>
      </c>
      <c r="C49" s="12">
        <v>45068</v>
      </c>
      <c r="D49" s="12">
        <v>45128</v>
      </c>
      <c r="E49" s="6">
        <v>23775</v>
      </c>
      <c r="F49" s="12">
        <v>45170</v>
      </c>
      <c r="G49">
        <f t="shared" si="0"/>
        <v>0</v>
      </c>
      <c r="H49">
        <f>IF(AND(G49=1,D49&lt;Synthese!$B$3),1,0)</f>
        <v>0</v>
      </c>
      <c r="I49">
        <f t="shared" si="1"/>
        <v>0</v>
      </c>
      <c r="J49">
        <f t="shared" si="2"/>
        <v>0</v>
      </c>
    </row>
    <row r="50" spans="1:10" x14ac:dyDescent="0.25">
      <c r="A50" s="5" t="s">
        <v>1075</v>
      </c>
      <c r="B50" s="5" t="s">
        <v>116</v>
      </c>
      <c r="C50" s="12">
        <v>45111</v>
      </c>
      <c r="D50" s="12">
        <v>45156</v>
      </c>
      <c r="E50" s="6">
        <v>47550</v>
      </c>
      <c r="F50" s="12">
        <v>45160</v>
      </c>
      <c r="G50">
        <f t="shared" si="0"/>
        <v>0</v>
      </c>
      <c r="H50">
        <f>IF(AND(G50=1,D50&lt;Synthese!$B$3),1,0)</f>
        <v>0</v>
      </c>
      <c r="I50">
        <f t="shared" si="1"/>
        <v>0</v>
      </c>
      <c r="J50">
        <f t="shared" si="2"/>
        <v>0</v>
      </c>
    </row>
    <row r="51" spans="1:10" x14ac:dyDescent="0.25">
      <c r="A51" s="5" t="s">
        <v>1076</v>
      </c>
      <c r="B51" s="5" t="s">
        <v>116</v>
      </c>
      <c r="C51" s="12">
        <v>45158</v>
      </c>
      <c r="D51" s="12">
        <v>45203</v>
      </c>
      <c r="E51" s="6">
        <v>47550</v>
      </c>
      <c r="F51" s="12">
        <v>45259</v>
      </c>
      <c r="G51">
        <f t="shared" si="0"/>
        <v>0</v>
      </c>
      <c r="H51">
        <f>IF(AND(G51=1,D51&lt;Synthese!$B$3),1,0)</f>
        <v>0</v>
      </c>
      <c r="I51">
        <f t="shared" si="1"/>
        <v>0</v>
      </c>
      <c r="J51">
        <f t="shared" si="2"/>
        <v>0</v>
      </c>
    </row>
    <row r="52" spans="1:10" x14ac:dyDescent="0.25">
      <c r="A52" s="5" t="s">
        <v>1077</v>
      </c>
      <c r="B52" s="5" t="s">
        <v>116</v>
      </c>
      <c r="C52" s="12">
        <v>45201</v>
      </c>
      <c r="D52" s="12">
        <v>45261</v>
      </c>
      <c r="E52" s="6">
        <v>39625</v>
      </c>
      <c r="F52" s="12"/>
      <c r="G52">
        <f t="shared" si="0"/>
        <v>1</v>
      </c>
      <c r="H52">
        <f>IF(AND(G52=1,D52&lt;Synthese!$B$3),1,0)</f>
        <v>1</v>
      </c>
      <c r="I52">
        <f t="shared" si="1"/>
        <v>39625</v>
      </c>
      <c r="J52">
        <f t="shared" si="2"/>
        <v>39625</v>
      </c>
    </row>
    <row r="53" spans="1:10" x14ac:dyDescent="0.25">
      <c r="A53" s="5" t="s">
        <v>1078</v>
      </c>
      <c r="B53" s="5" t="s">
        <v>122</v>
      </c>
      <c r="C53" s="12">
        <v>45223</v>
      </c>
      <c r="D53" s="12">
        <v>45253</v>
      </c>
      <c r="E53" s="6">
        <v>17100</v>
      </c>
      <c r="F53" s="12">
        <v>45281</v>
      </c>
      <c r="G53">
        <f t="shared" si="0"/>
        <v>0</v>
      </c>
      <c r="H53">
        <f>IF(AND(G53=1,D53&lt;Synthese!$B$3),1,0)</f>
        <v>0</v>
      </c>
      <c r="I53">
        <f t="shared" si="1"/>
        <v>0</v>
      </c>
      <c r="J53">
        <f t="shared" si="2"/>
        <v>0</v>
      </c>
    </row>
    <row r="54" spans="1:10" x14ac:dyDescent="0.25">
      <c r="A54" s="5" t="s">
        <v>1079</v>
      </c>
      <c r="B54" s="5" t="s">
        <v>122</v>
      </c>
      <c r="C54" s="12">
        <v>45251</v>
      </c>
      <c r="D54" s="12">
        <v>45281</v>
      </c>
      <c r="E54" s="6">
        <v>23940</v>
      </c>
      <c r="F54" s="12">
        <v>45278</v>
      </c>
      <c r="G54">
        <f t="shared" si="0"/>
        <v>0</v>
      </c>
      <c r="H54">
        <f>IF(AND(G54=1,D54&lt;Synthese!$B$3),1,0)</f>
        <v>0</v>
      </c>
      <c r="I54">
        <f t="shared" si="1"/>
        <v>0</v>
      </c>
      <c r="J54">
        <f t="shared" si="2"/>
        <v>0</v>
      </c>
    </row>
    <row r="55" spans="1:10" x14ac:dyDescent="0.25">
      <c r="A55" s="5" t="s">
        <v>1080</v>
      </c>
      <c r="B55" s="5" t="s">
        <v>122</v>
      </c>
      <c r="C55" s="12">
        <v>45277</v>
      </c>
      <c r="D55" s="12">
        <v>45307</v>
      </c>
      <c r="E55" s="6">
        <v>27360</v>
      </c>
      <c r="F55" s="12"/>
      <c r="G55">
        <f t="shared" si="0"/>
        <v>1</v>
      </c>
      <c r="H55">
        <f>IF(AND(G55=1,D55&lt;Synthese!$B$3),1,0)</f>
        <v>1</v>
      </c>
      <c r="I55">
        <f t="shared" si="1"/>
        <v>27360</v>
      </c>
      <c r="J55">
        <f t="shared" si="2"/>
        <v>27360</v>
      </c>
    </row>
    <row r="56" spans="1:10" x14ac:dyDescent="0.25">
      <c r="A56" s="5" t="s">
        <v>1081</v>
      </c>
      <c r="B56" s="5" t="s">
        <v>127</v>
      </c>
      <c r="C56" s="12">
        <v>45051</v>
      </c>
      <c r="D56" s="12">
        <v>45096</v>
      </c>
      <c r="E56" s="6">
        <v>24360</v>
      </c>
      <c r="F56" s="12">
        <v>45100</v>
      </c>
      <c r="G56">
        <f t="shared" si="0"/>
        <v>0</v>
      </c>
      <c r="H56">
        <f>IF(AND(G56=1,D56&lt;Synthese!$B$3),1,0)</f>
        <v>0</v>
      </c>
      <c r="I56">
        <f t="shared" si="1"/>
        <v>0</v>
      </c>
      <c r="J56">
        <f t="shared" si="2"/>
        <v>0</v>
      </c>
    </row>
    <row r="57" spans="1:10" x14ac:dyDescent="0.25">
      <c r="A57" s="5" t="s">
        <v>1082</v>
      </c>
      <c r="B57" s="5" t="s">
        <v>127</v>
      </c>
      <c r="C57" s="12">
        <v>45073</v>
      </c>
      <c r="D57" s="12">
        <v>45103</v>
      </c>
      <c r="E57" s="6">
        <v>48720</v>
      </c>
      <c r="F57" s="12">
        <v>45101</v>
      </c>
      <c r="G57">
        <f t="shared" si="0"/>
        <v>0</v>
      </c>
      <c r="H57">
        <f>IF(AND(G57=1,D57&lt;Synthese!$B$3),1,0)</f>
        <v>0</v>
      </c>
      <c r="I57">
        <f t="shared" si="1"/>
        <v>0</v>
      </c>
      <c r="J57">
        <f t="shared" si="2"/>
        <v>0</v>
      </c>
    </row>
    <row r="58" spans="1:10" x14ac:dyDescent="0.25">
      <c r="A58" s="5" t="s">
        <v>1083</v>
      </c>
      <c r="B58" s="5" t="s">
        <v>127</v>
      </c>
      <c r="C58" s="12">
        <v>45106</v>
      </c>
      <c r="D58" s="12">
        <v>45136</v>
      </c>
      <c r="E58" s="6">
        <v>48720</v>
      </c>
      <c r="F58" s="12">
        <v>45136</v>
      </c>
      <c r="G58">
        <f t="shared" si="0"/>
        <v>0</v>
      </c>
      <c r="H58">
        <f>IF(AND(G58=1,D58&lt;Synthese!$B$3),1,0)</f>
        <v>0</v>
      </c>
      <c r="I58">
        <f t="shared" si="1"/>
        <v>0</v>
      </c>
      <c r="J58">
        <f t="shared" si="2"/>
        <v>0</v>
      </c>
    </row>
    <row r="59" spans="1:10" x14ac:dyDescent="0.25">
      <c r="A59" s="5" t="s">
        <v>1084</v>
      </c>
      <c r="B59" s="5" t="s">
        <v>127</v>
      </c>
      <c r="C59" s="12">
        <v>45123</v>
      </c>
      <c r="D59" s="12">
        <v>45168</v>
      </c>
      <c r="E59" s="6">
        <v>40600</v>
      </c>
      <c r="F59" s="12">
        <v>45183</v>
      </c>
      <c r="G59">
        <f t="shared" si="0"/>
        <v>0</v>
      </c>
      <c r="H59">
        <f>IF(AND(G59=1,D59&lt;Synthese!$B$3),1,0)</f>
        <v>0</v>
      </c>
      <c r="I59">
        <f t="shared" si="1"/>
        <v>0</v>
      </c>
      <c r="J59">
        <f t="shared" si="2"/>
        <v>0</v>
      </c>
    </row>
    <row r="60" spans="1:10" x14ac:dyDescent="0.25">
      <c r="A60" s="5" t="s">
        <v>1085</v>
      </c>
      <c r="B60" s="5" t="s">
        <v>133</v>
      </c>
      <c r="C60" s="12">
        <v>45571</v>
      </c>
      <c r="D60" s="12">
        <v>45601</v>
      </c>
      <c r="E60" s="6">
        <v>20720</v>
      </c>
      <c r="F60" s="12">
        <v>45599</v>
      </c>
      <c r="G60">
        <f t="shared" si="0"/>
        <v>0</v>
      </c>
      <c r="H60">
        <f>IF(AND(G60=1,D60&lt;Synthese!$B$3),1,0)</f>
        <v>0</v>
      </c>
      <c r="I60">
        <f t="shared" si="1"/>
        <v>0</v>
      </c>
      <c r="J60">
        <f t="shared" si="2"/>
        <v>0</v>
      </c>
    </row>
    <row r="61" spans="1:10" x14ac:dyDescent="0.25">
      <c r="A61" s="5" t="s">
        <v>1086</v>
      </c>
      <c r="B61" s="5" t="s">
        <v>133</v>
      </c>
      <c r="C61" s="12">
        <v>45611</v>
      </c>
      <c r="D61" s="12">
        <v>45641</v>
      </c>
      <c r="E61" s="6">
        <v>31080</v>
      </c>
      <c r="F61" s="12">
        <v>45649</v>
      </c>
      <c r="G61">
        <f t="shared" si="0"/>
        <v>0</v>
      </c>
      <c r="H61">
        <f>IF(AND(G61=1,D61&lt;Synthese!$B$3),1,0)</f>
        <v>0</v>
      </c>
      <c r="I61">
        <f t="shared" si="1"/>
        <v>0</v>
      </c>
      <c r="J61">
        <f t="shared" si="2"/>
        <v>0</v>
      </c>
    </row>
    <row r="62" spans="1:10" x14ac:dyDescent="0.25">
      <c r="A62" s="5" t="s">
        <v>1087</v>
      </c>
      <c r="B62" s="5" t="s">
        <v>137</v>
      </c>
      <c r="C62" s="12">
        <v>45366</v>
      </c>
      <c r="D62" s="12">
        <v>45411</v>
      </c>
      <c r="E62" s="6">
        <v>30975</v>
      </c>
      <c r="F62" s="12">
        <v>45411</v>
      </c>
      <c r="G62">
        <f t="shared" si="0"/>
        <v>0</v>
      </c>
      <c r="H62">
        <f>IF(AND(G62=1,D62&lt;Synthese!$B$3),1,0)</f>
        <v>0</v>
      </c>
      <c r="I62">
        <f t="shared" si="1"/>
        <v>0</v>
      </c>
      <c r="J62">
        <f t="shared" si="2"/>
        <v>0</v>
      </c>
    </row>
    <row r="63" spans="1:10" x14ac:dyDescent="0.25">
      <c r="A63" s="5" t="s">
        <v>1088</v>
      </c>
      <c r="B63" s="5" t="s">
        <v>137</v>
      </c>
      <c r="C63" s="12">
        <v>45431</v>
      </c>
      <c r="D63" s="12">
        <v>45476</v>
      </c>
      <c r="E63" s="6">
        <v>43365</v>
      </c>
      <c r="F63" s="12">
        <v>45504</v>
      </c>
      <c r="G63">
        <f t="shared" si="0"/>
        <v>0</v>
      </c>
      <c r="H63">
        <f>IF(AND(G63=1,D63&lt;Synthese!$B$3),1,0)</f>
        <v>0</v>
      </c>
      <c r="I63">
        <f t="shared" si="1"/>
        <v>0</v>
      </c>
      <c r="J63">
        <f t="shared" si="2"/>
        <v>0</v>
      </c>
    </row>
    <row r="64" spans="1:10" x14ac:dyDescent="0.25">
      <c r="A64" s="5" t="s">
        <v>1089</v>
      </c>
      <c r="B64" s="5" t="s">
        <v>137</v>
      </c>
      <c r="C64" s="12">
        <v>45508</v>
      </c>
      <c r="D64" s="12">
        <v>45553</v>
      </c>
      <c r="E64" s="6">
        <v>49560</v>
      </c>
      <c r="F64" s="12">
        <v>45554</v>
      </c>
      <c r="G64">
        <f t="shared" si="0"/>
        <v>0</v>
      </c>
      <c r="H64">
        <f>IF(AND(G64=1,D64&lt;Synthese!$B$3),1,0)</f>
        <v>0</v>
      </c>
      <c r="I64">
        <f t="shared" si="1"/>
        <v>0</v>
      </c>
      <c r="J64">
        <f t="shared" si="2"/>
        <v>0</v>
      </c>
    </row>
    <row r="65" spans="1:10" x14ac:dyDescent="0.25">
      <c r="A65" s="5" t="s">
        <v>1090</v>
      </c>
      <c r="B65" s="5" t="s">
        <v>141</v>
      </c>
      <c r="C65" s="12">
        <v>45352</v>
      </c>
      <c r="D65" s="12">
        <v>45397</v>
      </c>
      <c r="E65" s="6">
        <v>17920</v>
      </c>
      <c r="F65" s="12">
        <v>45399</v>
      </c>
      <c r="G65">
        <f t="shared" si="0"/>
        <v>0</v>
      </c>
      <c r="H65">
        <f>IF(AND(G65=1,D65&lt;Synthese!$B$3),1,0)</f>
        <v>0</v>
      </c>
      <c r="I65">
        <f t="shared" si="1"/>
        <v>0</v>
      </c>
      <c r="J65">
        <f t="shared" si="2"/>
        <v>0</v>
      </c>
    </row>
    <row r="66" spans="1:10" x14ac:dyDescent="0.25">
      <c r="A66" s="5" t="s">
        <v>1091</v>
      </c>
      <c r="B66" s="5" t="s">
        <v>141</v>
      </c>
      <c r="C66" s="12">
        <v>45393</v>
      </c>
      <c r="D66" s="12">
        <v>45423</v>
      </c>
      <c r="E66" s="6">
        <v>26880</v>
      </c>
      <c r="F66" s="12">
        <v>45427</v>
      </c>
      <c r="G66">
        <f t="shared" ref="G66:G129" si="3">IF(F66="",1,0)</f>
        <v>0</v>
      </c>
      <c r="H66">
        <f>IF(AND(G66=1,D66&lt;Synthese!$B$3),1,0)</f>
        <v>0</v>
      </c>
      <c r="I66">
        <f t="shared" ref="I66:I129" si="4">IF(G66=1,E66,0)</f>
        <v>0</v>
      </c>
      <c r="J66">
        <f t="shared" ref="J66:J129" si="5">IF(H66=1,E66,0)</f>
        <v>0</v>
      </c>
    </row>
    <row r="67" spans="1:10" x14ac:dyDescent="0.25">
      <c r="A67" s="5" t="s">
        <v>1092</v>
      </c>
      <c r="B67" s="5" t="s">
        <v>144</v>
      </c>
      <c r="C67" s="12">
        <v>45555</v>
      </c>
      <c r="D67" s="12">
        <v>45585</v>
      </c>
      <c r="E67" s="6">
        <v>35160</v>
      </c>
      <c r="F67" s="12">
        <v>45589</v>
      </c>
      <c r="G67">
        <f t="shared" si="3"/>
        <v>0</v>
      </c>
      <c r="H67">
        <f>IF(AND(G67=1,D67&lt;Synthese!$B$3),1,0)</f>
        <v>0</v>
      </c>
      <c r="I67">
        <f t="shared" si="4"/>
        <v>0</v>
      </c>
      <c r="J67">
        <f t="shared" si="5"/>
        <v>0</v>
      </c>
    </row>
    <row r="68" spans="1:10" x14ac:dyDescent="0.25">
      <c r="A68" s="5" t="s">
        <v>1093</v>
      </c>
      <c r="B68" s="5" t="s">
        <v>144</v>
      </c>
      <c r="C68" s="12">
        <v>45602</v>
      </c>
      <c r="D68" s="12">
        <v>45632</v>
      </c>
      <c r="E68" s="6">
        <v>70320</v>
      </c>
      <c r="F68" s="12">
        <v>45633</v>
      </c>
      <c r="G68">
        <f t="shared" si="3"/>
        <v>0</v>
      </c>
      <c r="H68">
        <f>IF(AND(G68=1,D68&lt;Synthese!$B$3),1,0)</f>
        <v>0</v>
      </c>
      <c r="I68">
        <f t="shared" si="4"/>
        <v>0</v>
      </c>
      <c r="J68">
        <f t="shared" si="5"/>
        <v>0</v>
      </c>
    </row>
    <row r="69" spans="1:10" x14ac:dyDescent="0.25">
      <c r="A69" s="5" t="s">
        <v>1094</v>
      </c>
      <c r="B69" s="5" t="s">
        <v>144</v>
      </c>
      <c r="C69" s="12">
        <v>45668</v>
      </c>
      <c r="D69" s="12">
        <v>45698</v>
      </c>
      <c r="E69" s="6">
        <v>70320</v>
      </c>
      <c r="F69" s="12">
        <v>45698</v>
      </c>
      <c r="G69">
        <f t="shared" si="3"/>
        <v>0</v>
      </c>
      <c r="H69">
        <f>IF(AND(G69=1,D69&lt;Synthese!$B$3),1,0)</f>
        <v>0</v>
      </c>
      <c r="I69">
        <f t="shared" si="4"/>
        <v>0</v>
      </c>
      <c r="J69">
        <f t="shared" si="5"/>
        <v>0</v>
      </c>
    </row>
    <row r="70" spans="1:10" x14ac:dyDescent="0.25">
      <c r="A70" s="5" t="s">
        <v>1095</v>
      </c>
      <c r="B70" s="5" t="s">
        <v>144</v>
      </c>
      <c r="C70" s="12">
        <v>45717</v>
      </c>
      <c r="D70" s="12">
        <v>45762</v>
      </c>
      <c r="E70" s="6">
        <v>58600</v>
      </c>
      <c r="F70" s="12">
        <v>45762</v>
      </c>
      <c r="G70">
        <f t="shared" si="3"/>
        <v>0</v>
      </c>
      <c r="H70">
        <f>IF(AND(G70=1,D70&lt;Synthese!$B$3),1,0)</f>
        <v>0</v>
      </c>
      <c r="I70">
        <f t="shared" si="4"/>
        <v>0</v>
      </c>
      <c r="J70">
        <f t="shared" si="5"/>
        <v>0</v>
      </c>
    </row>
    <row r="71" spans="1:10" x14ac:dyDescent="0.25">
      <c r="A71" s="5" t="s">
        <v>1096</v>
      </c>
      <c r="B71" s="5" t="s">
        <v>146</v>
      </c>
      <c r="C71" s="12">
        <v>45565</v>
      </c>
      <c r="D71" s="12">
        <v>45595</v>
      </c>
      <c r="E71" s="6">
        <v>53910</v>
      </c>
      <c r="F71" s="12">
        <v>45598</v>
      </c>
      <c r="G71">
        <f t="shared" si="3"/>
        <v>0</v>
      </c>
      <c r="H71">
        <f>IF(AND(G71=1,D71&lt;Synthese!$B$3),1,0)</f>
        <v>0</v>
      </c>
      <c r="I71">
        <f t="shared" si="4"/>
        <v>0</v>
      </c>
      <c r="J71">
        <f t="shared" si="5"/>
        <v>0</v>
      </c>
    </row>
    <row r="72" spans="1:10" x14ac:dyDescent="0.25">
      <c r="A72" s="5" t="s">
        <v>1097</v>
      </c>
      <c r="B72" s="5" t="s">
        <v>146</v>
      </c>
      <c r="C72" s="12">
        <v>45610</v>
      </c>
      <c r="D72" s="12">
        <v>45640</v>
      </c>
      <c r="E72" s="6">
        <v>107820</v>
      </c>
      <c r="F72" s="12">
        <v>45674</v>
      </c>
      <c r="G72">
        <f t="shared" si="3"/>
        <v>0</v>
      </c>
      <c r="H72">
        <f>IF(AND(G72=1,D72&lt;Synthese!$B$3),1,0)</f>
        <v>0</v>
      </c>
      <c r="I72">
        <f t="shared" si="4"/>
        <v>0</v>
      </c>
      <c r="J72">
        <f t="shared" si="5"/>
        <v>0</v>
      </c>
    </row>
    <row r="73" spans="1:10" x14ac:dyDescent="0.25">
      <c r="A73" s="5" t="s">
        <v>1098</v>
      </c>
      <c r="B73" s="5" t="s">
        <v>146</v>
      </c>
      <c r="C73" s="12">
        <v>45663</v>
      </c>
      <c r="D73" s="12">
        <v>45693</v>
      </c>
      <c r="E73" s="6">
        <v>107820</v>
      </c>
      <c r="F73" s="12">
        <v>45697</v>
      </c>
      <c r="G73">
        <f t="shared" si="3"/>
        <v>0</v>
      </c>
      <c r="H73">
        <f>IF(AND(G73=1,D73&lt;Synthese!$B$3),1,0)</f>
        <v>0</v>
      </c>
      <c r="I73">
        <f t="shared" si="4"/>
        <v>0</v>
      </c>
      <c r="J73">
        <f t="shared" si="5"/>
        <v>0</v>
      </c>
    </row>
    <row r="74" spans="1:10" x14ac:dyDescent="0.25">
      <c r="A74" s="5" t="s">
        <v>1099</v>
      </c>
      <c r="B74" s="5" t="s">
        <v>146</v>
      </c>
      <c r="C74" s="12">
        <v>45706</v>
      </c>
      <c r="D74" s="12">
        <v>45751</v>
      </c>
      <c r="E74" s="6">
        <v>89850</v>
      </c>
      <c r="F74" s="12">
        <v>45753</v>
      </c>
      <c r="G74">
        <f t="shared" si="3"/>
        <v>0</v>
      </c>
      <c r="H74">
        <f>IF(AND(G74=1,D74&lt;Synthese!$B$3),1,0)</f>
        <v>0</v>
      </c>
      <c r="I74">
        <f t="shared" si="4"/>
        <v>0</v>
      </c>
      <c r="J74">
        <f t="shared" si="5"/>
        <v>0</v>
      </c>
    </row>
    <row r="75" spans="1:10" x14ac:dyDescent="0.25">
      <c r="A75" s="5" t="s">
        <v>1100</v>
      </c>
      <c r="B75" s="5" t="s">
        <v>149</v>
      </c>
      <c r="C75" s="12">
        <v>45480</v>
      </c>
      <c r="D75" s="12">
        <v>45525</v>
      </c>
      <c r="E75" s="6">
        <v>16840</v>
      </c>
      <c r="F75" s="12">
        <v>45529</v>
      </c>
      <c r="G75">
        <f t="shared" si="3"/>
        <v>0</v>
      </c>
      <c r="H75">
        <f>IF(AND(G75=1,D75&lt;Synthese!$B$3),1,0)</f>
        <v>0</v>
      </c>
      <c r="I75">
        <f t="shared" si="4"/>
        <v>0</v>
      </c>
      <c r="J75">
        <f t="shared" si="5"/>
        <v>0</v>
      </c>
    </row>
    <row r="76" spans="1:10" x14ac:dyDescent="0.25">
      <c r="A76" s="5" t="s">
        <v>1101</v>
      </c>
      <c r="B76" s="5" t="s">
        <v>149</v>
      </c>
      <c r="C76" s="12">
        <v>45515</v>
      </c>
      <c r="D76" s="12">
        <v>45545</v>
      </c>
      <c r="E76" s="6">
        <v>25260</v>
      </c>
      <c r="F76" s="12">
        <v>45549</v>
      </c>
      <c r="G76">
        <f t="shared" si="3"/>
        <v>0</v>
      </c>
      <c r="H76">
        <f>IF(AND(G76=1,D76&lt;Synthese!$B$3),1,0)</f>
        <v>0</v>
      </c>
      <c r="I76">
        <f t="shared" si="4"/>
        <v>0</v>
      </c>
      <c r="J76">
        <f t="shared" si="5"/>
        <v>0</v>
      </c>
    </row>
    <row r="77" spans="1:10" x14ac:dyDescent="0.25">
      <c r="A77" s="5" t="s">
        <v>1102</v>
      </c>
      <c r="B77" s="5" t="s">
        <v>152</v>
      </c>
      <c r="C77" s="12">
        <v>45380</v>
      </c>
      <c r="D77" s="12">
        <v>45440</v>
      </c>
      <c r="E77" s="6">
        <v>60885</v>
      </c>
      <c r="F77" s="12">
        <v>45444</v>
      </c>
      <c r="G77">
        <f t="shared" si="3"/>
        <v>0</v>
      </c>
      <c r="H77">
        <f>IF(AND(G77=1,D77&lt;Synthese!$B$3),1,0)</f>
        <v>0</v>
      </c>
      <c r="I77">
        <f t="shared" si="4"/>
        <v>0</v>
      </c>
      <c r="J77">
        <f t="shared" si="5"/>
        <v>0</v>
      </c>
    </row>
    <row r="78" spans="1:10" x14ac:dyDescent="0.25">
      <c r="A78" s="5" t="s">
        <v>1103</v>
      </c>
      <c r="B78" s="5" t="s">
        <v>152</v>
      </c>
      <c r="C78" s="12">
        <v>45437</v>
      </c>
      <c r="D78" s="12">
        <v>45482</v>
      </c>
      <c r="E78" s="6">
        <v>121770</v>
      </c>
      <c r="F78" s="12">
        <v>45486</v>
      </c>
      <c r="G78">
        <f t="shared" si="3"/>
        <v>0</v>
      </c>
      <c r="H78">
        <f>IF(AND(G78=1,D78&lt;Synthese!$B$3),1,0)</f>
        <v>0</v>
      </c>
      <c r="I78">
        <f t="shared" si="4"/>
        <v>0</v>
      </c>
      <c r="J78">
        <f t="shared" si="5"/>
        <v>0</v>
      </c>
    </row>
    <row r="79" spans="1:10" x14ac:dyDescent="0.25">
      <c r="A79" s="5" t="s">
        <v>1104</v>
      </c>
      <c r="B79" s="5" t="s">
        <v>152</v>
      </c>
      <c r="C79" s="12">
        <v>45473</v>
      </c>
      <c r="D79" s="12">
        <v>45518</v>
      </c>
      <c r="E79" s="6">
        <v>121770</v>
      </c>
      <c r="F79" s="12">
        <v>45523</v>
      </c>
      <c r="G79">
        <f t="shared" si="3"/>
        <v>0</v>
      </c>
      <c r="H79">
        <f>IF(AND(G79=1,D79&lt;Synthese!$B$3),1,0)</f>
        <v>0</v>
      </c>
      <c r="I79">
        <f t="shared" si="4"/>
        <v>0</v>
      </c>
      <c r="J79">
        <f t="shared" si="5"/>
        <v>0</v>
      </c>
    </row>
    <row r="80" spans="1:10" x14ac:dyDescent="0.25">
      <c r="A80" s="5" t="s">
        <v>1105</v>
      </c>
      <c r="B80" s="5" t="s">
        <v>152</v>
      </c>
      <c r="C80" s="12">
        <v>45537</v>
      </c>
      <c r="D80" s="12">
        <v>45597</v>
      </c>
      <c r="E80" s="6">
        <v>101475</v>
      </c>
      <c r="F80" s="12">
        <v>45601</v>
      </c>
      <c r="G80">
        <f t="shared" si="3"/>
        <v>0</v>
      </c>
      <c r="H80">
        <f>IF(AND(G80=1,D80&lt;Synthese!$B$3),1,0)</f>
        <v>0</v>
      </c>
      <c r="I80">
        <f t="shared" si="4"/>
        <v>0</v>
      </c>
      <c r="J80">
        <f t="shared" si="5"/>
        <v>0</v>
      </c>
    </row>
    <row r="81" spans="1:10" x14ac:dyDescent="0.25">
      <c r="A81" s="5" t="s">
        <v>1106</v>
      </c>
      <c r="B81" s="5" t="s">
        <v>155</v>
      </c>
      <c r="C81" s="12">
        <v>45464</v>
      </c>
      <c r="D81" s="12">
        <v>45494</v>
      </c>
      <c r="E81" s="6">
        <v>16000</v>
      </c>
      <c r="F81" s="12">
        <v>45495</v>
      </c>
      <c r="G81">
        <f t="shared" si="3"/>
        <v>0</v>
      </c>
      <c r="H81">
        <f>IF(AND(G81=1,D81&lt;Synthese!$B$3),1,0)</f>
        <v>0</v>
      </c>
      <c r="I81">
        <f t="shared" si="4"/>
        <v>0</v>
      </c>
      <c r="J81">
        <f t="shared" si="5"/>
        <v>0</v>
      </c>
    </row>
    <row r="82" spans="1:10" x14ac:dyDescent="0.25">
      <c r="A82" s="5" t="s">
        <v>1107</v>
      </c>
      <c r="B82" s="5" t="s">
        <v>155</v>
      </c>
      <c r="C82" s="12">
        <v>45515</v>
      </c>
      <c r="D82" s="12">
        <v>45545</v>
      </c>
      <c r="E82" s="6">
        <v>24000</v>
      </c>
      <c r="F82" s="12">
        <v>45550</v>
      </c>
      <c r="G82">
        <f t="shared" si="3"/>
        <v>0</v>
      </c>
      <c r="H82">
        <f>IF(AND(G82=1,D82&lt;Synthese!$B$3),1,0)</f>
        <v>0</v>
      </c>
      <c r="I82">
        <f t="shared" si="4"/>
        <v>0</v>
      </c>
      <c r="J82">
        <f t="shared" si="5"/>
        <v>0</v>
      </c>
    </row>
    <row r="83" spans="1:10" x14ac:dyDescent="0.25">
      <c r="A83" s="5" t="s">
        <v>1108</v>
      </c>
      <c r="B83" s="5" t="s">
        <v>158</v>
      </c>
      <c r="C83" s="12">
        <v>45577</v>
      </c>
      <c r="D83" s="12">
        <v>45607</v>
      </c>
      <c r="E83" s="6">
        <v>30120</v>
      </c>
      <c r="F83" s="12">
        <v>45602</v>
      </c>
      <c r="G83">
        <f t="shared" si="3"/>
        <v>0</v>
      </c>
      <c r="H83">
        <f>IF(AND(G83=1,D83&lt;Synthese!$B$3),1,0)</f>
        <v>0</v>
      </c>
      <c r="I83">
        <f t="shared" si="4"/>
        <v>0</v>
      </c>
      <c r="J83">
        <f t="shared" si="5"/>
        <v>0</v>
      </c>
    </row>
    <row r="84" spans="1:10" x14ac:dyDescent="0.25">
      <c r="A84" s="5" t="s">
        <v>1109</v>
      </c>
      <c r="B84" s="5" t="s">
        <v>158</v>
      </c>
      <c r="C84" s="12">
        <v>45610</v>
      </c>
      <c r="D84" s="12">
        <v>45640</v>
      </c>
      <c r="E84" s="6">
        <v>60240</v>
      </c>
      <c r="F84" s="12">
        <v>45642</v>
      </c>
      <c r="G84">
        <f t="shared" si="3"/>
        <v>0</v>
      </c>
      <c r="H84">
        <f>IF(AND(G84=1,D84&lt;Synthese!$B$3),1,0)</f>
        <v>0</v>
      </c>
      <c r="I84">
        <f t="shared" si="4"/>
        <v>0</v>
      </c>
      <c r="J84">
        <f t="shared" si="5"/>
        <v>0</v>
      </c>
    </row>
    <row r="85" spans="1:10" x14ac:dyDescent="0.25">
      <c r="A85" s="5" t="s">
        <v>1110</v>
      </c>
      <c r="B85" s="5" t="s">
        <v>158</v>
      </c>
      <c r="C85" s="12">
        <v>45641</v>
      </c>
      <c r="D85" s="12">
        <v>45671</v>
      </c>
      <c r="E85" s="6">
        <v>60240</v>
      </c>
      <c r="F85" s="12">
        <v>45669</v>
      </c>
      <c r="G85">
        <f t="shared" si="3"/>
        <v>0</v>
      </c>
      <c r="H85">
        <f>IF(AND(G85=1,D85&lt;Synthese!$B$3),1,0)</f>
        <v>0</v>
      </c>
      <c r="I85">
        <f t="shared" si="4"/>
        <v>0</v>
      </c>
      <c r="J85">
        <f t="shared" si="5"/>
        <v>0</v>
      </c>
    </row>
    <row r="86" spans="1:10" x14ac:dyDescent="0.25">
      <c r="A86" s="5" t="s">
        <v>1111</v>
      </c>
      <c r="B86" s="5" t="s">
        <v>158</v>
      </c>
      <c r="C86" s="12">
        <v>45669</v>
      </c>
      <c r="D86" s="12">
        <v>45684</v>
      </c>
      <c r="E86" s="6">
        <v>50200</v>
      </c>
      <c r="F86" s="12">
        <v>45685</v>
      </c>
      <c r="G86">
        <f t="shared" si="3"/>
        <v>0</v>
      </c>
      <c r="H86">
        <f>IF(AND(G86=1,D86&lt;Synthese!$B$3),1,0)</f>
        <v>0</v>
      </c>
      <c r="I86">
        <f t="shared" si="4"/>
        <v>0</v>
      </c>
      <c r="J86">
        <f t="shared" si="5"/>
        <v>0</v>
      </c>
    </row>
    <row r="87" spans="1:10" x14ac:dyDescent="0.25">
      <c r="A87" s="5" t="s">
        <v>1112</v>
      </c>
      <c r="B87" s="5" t="s">
        <v>161</v>
      </c>
      <c r="C87" s="12">
        <v>45358</v>
      </c>
      <c r="D87" s="12">
        <v>45403</v>
      </c>
      <c r="E87" s="6">
        <v>41445</v>
      </c>
      <c r="F87" s="12">
        <v>45403</v>
      </c>
      <c r="G87">
        <f t="shared" si="3"/>
        <v>0</v>
      </c>
      <c r="H87">
        <f>IF(AND(G87=1,D87&lt;Synthese!$B$3),1,0)</f>
        <v>0</v>
      </c>
      <c r="I87">
        <f t="shared" si="4"/>
        <v>0</v>
      </c>
      <c r="J87">
        <f t="shared" si="5"/>
        <v>0</v>
      </c>
    </row>
    <row r="88" spans="1:10" x14ac:dyDescent="0.25">
      <c r="A88" s="5" t="s">
        <v>1113</v>
      </c>
      <c r="B88" s="5" t="s">
        <v>161</v>
      </c>
      <c r="C88" s="12">
        <v>45393</v>
      </c>
      <c r="D88" s="12">
        <v>45438</v>
      </c>
      <c r="E88" s="6">
        <v>82890</v>
      </c>
      <c r="F88" s="12">
        <v>45441</v>
      </c>
      <c r="G88">
        <f t="shared" si="3"/>
        <v>0</v>
      </c>
      <c r="H88">
        <f>IF(AND(G88=1,D88&lt;Synthese!$B$3),1,0)</f>
        <v>0</v>
      </c>
      <c r="I88">
        <f t="shared" si="4"/>
        <v>0</v>
      </c>
      <c r="J88">
        <f t="shared" si="5"/>
        <v>0</v>
      </c>
    </row>
    <row r="89" spans="1:10" x14ac:dyDescent="0.25">
      <c r="A89" s="5" t="s">
        <v>1114</v>
      </c>
      <c r="B89" s="5" t="s">
        <v>161</v>
      </c>
      <c r="C89" s="12">
        <v>45430</v>
      </c>
      <c r="D89" s="12">
        <v>45460</v>
      </c>
      <c r="E89" s="6">
        <v>82890</v>
      </c>
      <c r="F89" s="12">
        <v>45464</v>
      </c>
      <c r="G89">
        <f t="shared" si="3"/>
        <v>0</v>
      </c>
      <c r="H89">
        <f>IF(AND(G89=1,D89&lt;Synthese!$B$3),1,0)</f>
        <v>0</v>
      </c>
      <c r="I89">
        <f t="shared" si="4"/>
        <v>0</v>
      </c>
      <c r="J89">
        <f t="shared" si="5"/>
        <v>0</v>
      </c>
    </row>
    <row r="90" spans="1:10" x14ac:dyDescent="0.25">
      <c r="A90" s="5" t="s">
        <v>1115</v>
      </c>
      <c r="B90" s="5" t="s">
        <v>161</v>
      </c>
      <c r="C90" s="12">
        <v>45467</v>
      </c>
      <c r="D90" s="12">
        <v>45497</v>
      </c>
      <c r="E90" s="6">
        <v>69075</v>
      </c>
      <c r="F90" s="12">
        <v>45495</v>
      </c>
      <c r="G90">
        <f t="shared" si="3"/>
        <v>0</v>
      </c>
      <c r="H90">
        <f>IF(AND(G90=1,D90&lt;Synthese!$B$3),1,0)</f>
        <v>0</v>
      </c>
      <c r="I90">
        <f t="shared" si="4"/>
        <v>0</v>
      </c>
      <c r="J90">
        <f t="shared" si="5"/>
        <v>0</v>
      </c>
    </row>
    <row r="91" spans="1:10" x14ac:dyDescent="0.25">
      <c r="A91" s="5" t="s">
        <v>1116</v>
      </c>
      <c r="B91" s="5" t="s">
        <v>164</v>
      </c>
      <c r="C91" s="12">
        <v>45582</v>
      </c>
      <c r="D91" s="12">
        <v>45597</v>
      </c>
      <c r="E91" s="6">
        <v>30250</v>
      </c>
      <c r="F91" s="12">
        <v>45594</v>
      </c>
      <c r="G91">
        <f t="shared" si="3"/>
        <v>0</v>
      </c>
      <c r="H91">
        <f>IF(AND(G91=1,D91&lt;Synthese!$B$3),1,0)</f>
        <v>0</v>
      </c>
      <c r="I91">
        <f t="shared" si="4"/>
        <v>0</v>
      </c>
      <c r="J91">
        <f t="shared" si="5"/>
        <v>0</v>
      </c>
    </row>
    <row r="92" spans="1:10" x14ac:dyDescent="0.25">
      <c r="A92" s="5" t="s">
        <v>1117</v>
      </c>
      <c r="B92" s="5" t="s">
        <v>164</v>
      </c>
      <c r="C92" s="12">
        <v>45599</v>
      </c>
      <c r="D92" s="12">
        <v>45629</v>
      </c>
      <c r="E92" s="6">
        <v>42350</v>
      </c>
      <c r="F92" s="12">
        <v>45624</v>
      </c>
      <c r="G92">
        <f t="shared" si="3"/>
        <v>0</v>
      </c>
      <c r="H92">
        <f>IF(AND(G92=1,D92&lt;Synthese!$B$3),1,0)</f>
        <v>0</v>
      </c>
      <c r="I92">
        <f t="shared" si="4"/>
        <v>0</v>
      </c>
      <c r="J92">
        <f t="shared" si="5"/>
        <v>0</v>
      </c>
    </row>
    <row r="93" spans="1:10" x14ac:dyDescent="0.25">
      <c r="A93" s="5" t="s">
        <v>1118</v>
      </c>
      <c r="B93" s="5" t="s">
        <v>164</v>
      </c>
      <c r="C93" s="12">
        <v>45635</v>
      </c>
      <c r="D93" s="12">
        <v>45650</v>
      </c>
      <c r="E93" s="6">
        <v>48400</v>
      </c>
      <c r="F93" s="12">
        <v>45657</v>
      </c>
      <c r="G93">
        <f t="shared" si="3"/>
        <v>0</v>
      </c>
      <c r="H93">
        <f>IF(AND(G93=1,D93&lt;Synthese!$B$3),1,0)</f>
        <v>0</v>
      </c>
      <c r="I93">
        <f t="shared" si="4"/>
        <v>0</v>
      </c>
      <c r="J93">
        <f t="shared" si="5"/>
        <v>0</v>
      </c>
    </row>
    <row r="94" spans="1:10" x14ac:dyDescent="0.25">
      <c r="A94" s="5" t="s">
        <v>1119</v>
      </c>
      <c r="B94" s="5" t="s">
        <v>167</v>
      </c>
      <c r="C94" s="12">
        <v>45511</v>
      </c>
      <c r="D94" s="12">
        <v>45541</v>
      </c>
      <c r="E94" s="6">
        <v>26175</v>
      </c>
      <c r="F94" s="12">
        <v>45545</v>
      </c>
      <c r="G94">
        <f t="shared" si="3"/>
        <v>0</v>
      </c>
      <c r="H94">
        <f>IF(AND(G94=1,D94&lt;Synthese!$B$3),1,0)</f>
        <v>0</v>
      </c>
      <c r="I94">
        <f t="shared" si="4"/>
        <v>0</v>
      </c>
      <c r="J94">
        <f t="shared" si="5"/>
        <v>0</v>
      </c>
    </row>
    <row r="95" spans="1:10" x14ac:dyDescent="0.25">
      <c r="A95" s="5" t="s">
        <v>1120</v>
      </c>
      <c r="B95" s="5" t="s">
        <v>167</v>
      </c>
      <c r="C95" s="12">
        <v>45531</v>
      </c>
      <c r="D95" s="12">
        <v>45561</v>
      </c>
      <c r="E95" s="6">
        <v>52350</v>
      </c>
      <c r="F95" s="12">
        <v>45566</v>
      </c>
      <c r="G95">
        <f t="shared" si="3"/>
        <v>0</v>
      </c>
      <c r="H95">
        <f>IF(AND(G95=1,D95&lt;Synthese!$B$3),1,0)</f>
        <v>0</v>
      </c>
      <c r="I95">
        <f t="shared" si="4"/>
        <v>0</v>
      </c>
      <c r="J95">
        <f t="shared" si="5"/>
        <v>0</v>
      </c>
    </row>
    <row r="96" spans="1:10" x14ac:dyDescent="0.25">
      <c r="A96" s="5" t="s">
        <v>1121</v>
      </c>
      <c r="B96" s="5" t="s">
        <v>167</v>
      </c>
      <c r="C96" s="12">
        <v>45566</v>
      </c>
      <c r="D96" s="12">
        <v>45611</v>
      </c>
      <c r="E96" s="6">
        <v>52350</v>
      </c>
      <c r="F96" s="12">
        <v>45613</v>
      </c>
      <c r="G96">
        <f t="shared" si="3"/>
        <v>0</v>
      </c>
      <c r="H96">
        <f>IF(AND(G96=1,D96&lt;Synthese!$B$3),1,0)</f>
        <v>0</v>
      </c>
      <c r="I96">
        <f t="shared" si="4"/>
        <v>0</v>
      </c>
      <c r="J96">
        <f t="shared" si="5"/>
        <v>0</v>
      </c>
    </row>
    <row r="97" spans="1:10" x14ac:dyDescent="0.25">
      <c r="A97" s="5" t="s">
        <v>1122</v>
      </c>
      <c r="B97" s="5" t="s">
        <v>167</v>
      </c>
      <c r="C97" s="12">
        <v>45604</v>
      </c>
      <c r="D97" s="12">
        <v>45649</v>
      </c>
      <c r="E97" s="6">
        <v>43625</v>
      </c>
      <c r="F97" s="12">
        <v>45653</v>
      </c>
      <c r="G97">
        <f t="shared" si="3"/>
        <v>0</v>
      </c>
      <c r="H97">
        <f>IF(AND(G97=1,D97&lt;Synthese!$B$3),1,0)</f>
        <v>0</v>
      </c>
      <c r="I97">
        <f t="shared" si="4"/>
        <v>0</v>
      </c>
      <c r="J97">
        <f t="shared" si="5"/>
        <v>0</v>
      </c>
    </row>
    <row r="98" spans="1:10" x14ac:dyDescent="0.25">
      <c r="A98" s="5" t="s">
        <v>1123</v>
      </c>
      <c r="B98" s="5" t="s">
        <v>172</v>
      </c>
      <c r="C98" s="12">
        <v>45372</v>
      </c>
      <c r="D98" s="12">
        <v>45402</v>
      </c>
      <c r="E98" s="6">
        <v>19650</v>
      </c>
      <c r="F98" s="12">
        <v>45411</v>
      </c>
      <c r="G98">
        <f t="shared" si="3"/>
        <v>0</v>
      </c>
      <c r="H98">
        <f>IF(AND(G98=1,D98&lt;Synthese!$B$3),1,0)</f>
        <v>0</v>
      </c>
      <c r="I98">
        <f t="shared" si="4"/>
        <v>0</v>
      </c>
      <c r="J98">
        <f t="shared" si="5"/>
        <v>0</v>
      </c>
    </row>
    <row r="99" spans="1:10" x14ac:dyDescent="0.25">
      <c r="A99" s="5" t="s">
        <v>1124</v>
      </c>
      <c r="B99" s="5" t="s">
        <v>172</v>
      </c>
      <c r="C99" s="12">
        <v>45391</v>
      </c>
      <c r="D99" s="12">
        <v>45436</v>
      </c>
      <c r="E99" s="6">
        <v>27510</v>
      </c>
      <c r="F99" s="12">
        <v>45437</v>
      </c>
      <c r="G99">
        <f t="shared" si="3"/>
        <v>0</v>
      </c>
      <c r="H99">
        <f>IF(AND(G99=1,D99&lt;Synthese!$B$3),1,0)</f>
        <v>0</v>
      </c>
      <c r="I99">
        <f t="shared" si="4"/>
        <v>0</v>
      </c>
      <c r="J99">
        <f t="shared" si="5"/>
        <v>0</v>
      </c>
    </row>
    <row r="100" spans="1:10" x14ac:dyDescent="0.25">
      <c r="A100" s="5" t="s">
        <v>1125</v>
      </c>
      <c r="B100" s="5" t="s">
        <v>172</v>
      </c>
      <c r="C100" s="12">
        <v>45434</v>
      </c>
      <c r="D100" s="12">
        <v>45464</v>
      </c>
      <c r="E100" s="6">
        <v>31440</v>
      </c>
      <c r="F100" s="12">
        <v>45464</v>
      </c>
      <c r="G100">
        <f t="shared" si="3"/>
        <v>0</v>
      </c>
      <c r="H100">
        <f>IF(AND(G100=1,D100&lt;Synthese!$B$3),1,0)</f>
        <v>0</v>
      </c>
      <c r="I100">
        <f t="shared" si="4"/>
        <v>0</v>
      </c>
      <c r="J100">
        <f t="shared" si="5"/>
        <v>0</v>
      </c>
    </row>
    <row r="101" spans="1:10" x14ac:dyDescent="0.25">
      <c r="A101" s="5" t="s">
        <v>1126</v>
      </c>
      <c r="B101" s="5" t="s">
        <v>175</v>
      </c>
      <c r="C101" s="12">
        <v>45596</v>
      </c>
      <c r="D101" s="12">
        <v>45641</v>
      </c>
      <c r="E101" s="6">
        <v>38775</v>
      </c>
      <c r="F101" s="12">
        <v>45639</v>
      </c>
      <c r="G101">
        <f t="shared" si="3"/>
        <v>0</v>
      </c>
      <c r="H101">
        <f>IF(AND(G101=1,D101&lt;Synthese!$B$3),1,0)</f>
        <v>0</v>
      </c>
      <c r="I101">
        <f t="shared" si="4"/>
        <v>0</v>
      </c>
      <c r="J101">
        <f t="shared" si="5"/>
        <v>0</v>
      </c>
    </row>
    <row r="102" spans="1:10" x14ac:dyDescent="0.25">
      <c r="A102" s="5" t="s">
        <v>1127</v>
      </c>
      <c r="B102" s="5" t="s">
        <v>175</v>
      </c>
      <c r="C102" s="12">
        <v>45655</v>
      </c>
      <c r="D102" s="12">
        <v>45700</v>
      </c>
      <c r="E102" s="6">
        <v>77550</v>
      </c>
      <c r="F102" s="12">
        <v>45700</v>
      </c>
      <c r="G102">
        <f t="shared" si="3"/>
        <v>0</v>
      </c>
      <c r="H102">
        <f>IF(AND(G102=1,D102&lt;Synthese!$B$3),1,0)</f>
        <v>0</v>
      </c>
      <c r="I102">
        <f t="shared" si="4"/>
        <v>0</v>
      </c>
      <c r="J102">
        <f t="shared" si="5"/>
        <v>0</v>
      </c>
    </row>
    <row r="103" spans="1:10" x14ac:dyDescent="0.25">
      <c r="A103" s="5" t="s">
        <v>1128</v>
      </c>
      <c r="B103" s="5" t="s">
        <v>175</v>
      </c>
      <c r="C103" s="12">
        <v>45728</v>
      </c>
      <c r="D103" s="12">
        <v>45758</v>
      </c>
      <c r="E103" s="6">
        <v>77550</v>
      </c>
      <c r="F103" s="12">
        <v>45757</v>
      </c>
      <c r="G103">
        <f t="shared" si="3"/>
        <v>0</v>
      </c>
      <c r="H103">
        <f>IF(AND(G103=1,D103&lt;Synthese!$B$3),1,0)</f>
        <v>0</v>
      </c>
      <c r="I103">
        <f t="shared" si="4"/>
        <v>0</v>
      </c>
      <c r="J103">
        <f t="shared" si="5"/>
        <v>0</v>
      </c>
    </row>
    <row r="104" spans="1:10" x14ac:dyDescent="0.25">
      <c r="A104" s="5" t="s">
        <v>1129</v>
      </c>
      <c r="B104" s="5" t="s">
        <v>175</v>
      </c>
      <c r="C104" s="12">
        <v>45787</v>
      </c>
      <c r="D104" s="12">
        <v>45817</v>
      </c>
      <c r="E104" s="6">
        <v>64625</v>
      </c>
      <c r="F104" s="12">
        <v>45814</v>
      </c>
      <c r="G104">
        <f t="shared" si="3"/>
        <v>0</v>
      </c>
      <c r="H104">
        <f>IF(AND(G104=1,D104&lt;Synthese!$B$3),1,0)</f>
        <v>0</v>
      </c>
      <c r="I104">
        <f t="shared" si="4"/>
        <v>0</v>
      </c>
      <c r="J104">
        <f t="shared" si="5"/>
        <v>0</v>
      </c>
    </row>
    <row r="105" spans="1:10" x14ac:dyDescent="0.25">
      <c r="A105" s="5" t="s">
        <v>1130</v>
      </c>
      <c r="B105" s="5" t="s">
        <v>178</v>
      </c>
      <c r="C105" s="12">
        <v>45420</v>
      </c>
      <c r="D105" s="12">
        <v>45465</v>
      </c>
      <c r="E105" s="6">
        <v>32985</v>
      </c>
      <c r="F105" s="12">
        <v>45465</v>
      </c>
      <c r="G105">
        <f t="shared" si="3"/>
        <v>0</v>
      </c>
      <c r="H105">
        <f>IF(AND(G105=1,D105&lt;Synthese!$B$3),1,0)</f>
        <v>0</v>
      </c>
      <c r="I105">
        <f t="shared" si="4"/>
        <v>0</v>
      </c>
      <c r="J105">
        <f t="shared" si="5"/>
        <v>0</v>
      </c>
    </row>
    <row r="106" spans="1:10" x14ac:dyDescent="0.25">
      <c r="A106" s="5" t="s">
        <v>1131</v>
      </c>
      <c r="B106" s="5" t="s">
        <v>178</v>
      </c>
      <c r="C106" s="12">
        <v>45468</v>
      </c>
      <c r="D106" s="12">
        <v>45498</v>
      </c>
      <c r="E106" s="6">
        <v>65970</v>
      </c>
      <c r="F106" s="12">
        <v>45496</v>
      </c>
      <c r="G106">
        <f t="shared" si="3"/>
        <v>0</v>
      </c>
      <c r="H106">
        <f>IF(AND(G106=1,D106&lt;Synthese!$B$3),1,0)</f>
        <v>0</v>
      </c>
      <c r="I106">
        <f t="shared" si="4"/>
        <v>0</v>
      </c>
      <c r="J106">
        <f t="shared" si="5"/>
        <v>0</v>
      </c>
    </row>
    <row r="107" spans="1:10" x14ac:dyDescent="0.25">
      <c r="A107" s="5" t="s">
        <v>1132</v>
      </c>
      <c r="B107" s="5" t="s">
        <v>178</v>
      </c>
      <c r="C107" s="12">
        <v>45535</v>
      </c>
      <c r="D107" s="12">
        <v>45565</v>
      </c>
      <c r="E107" s="6">
        <v>65970</v>
      </c>
      <c r="F107" s="12">
        <v>45566</v>
      </c>
      <c r="G107">
        <f t="shared" si="3"/>
        <v>0</v>
      </c>
      <c r="H107">
        <f>IF(AND(G107=1,D107&lt;Synthese!$B$3),1,0)</f>
        <v>0</v>
      </c>
      <c r="I107">
        <f t="shared" si="4"/>
        <v>0</v>
      </c>
      <c r="J107">
        <f t="shared" si="5"/>
        <v>0</v>
      </c>
    </row>
    <row r="108" spans="1:10" x14ac:dyDescent="0.25">
      <c r="A108" s="5" t="s">
        <v>1133</v>
      </c>
      <c r="B108" s="5" t="s">
        <v>178</v>
      </c>
      <c r="C108" s="12">
        <v>45580</v>
      </c>
      <c r="D108" s="12">
        <v>45625</v>
      </c>
      <c r="E108" s="6">
        <v>54975</v>
      </c>
      <c r="F108" s="12">
        <v>45625</v>
      </c>
      <c r="G108">
        <f t="shared" si="3"/>
        <v>0</v>
      </c>
      <c r="H108">
        <f>IF(AND(G108=1,D108&lt;Synthese!$B$3),1,0)</f>
        <v>0</v>
      </c>
      <c r="I108">
        <f t="shared" si="4"/>
        <v>0</v>
      </c>
      <c r="J108">
        <f t="shared" si="5"/>
        <v>0</v>
      </c>
    </row>
    <row r="109" spans="1:10" x14ac:dyDescent="0.25">
      <c r="A109" s="5" t="s">
        <v>1134</v>
      </c>
      <c r="B109" s="5" t="s">
        <v>181</v>
      </c>
      <c r="C109" s="12">
        <v>45450</v>
      </c>
      <c r="D109" s="12">
        <v>45480</v>
      </c>
      <c r="E109" s="6">
        <v>33660</v>
      </c>
      <c r="F109" s="12">
        <v>45480</v>
      </c>
      <c r="G109">
        <f t="shared" si="3"/>
        <v>0</v>
      </c>
      <c r="H109">
        <f>IF(AND(G109=1,D109&lt;Synthese!$B$3),1,0)</f>
        <v>0</v>
      </c>
      <c r="I109">
        <f t="shared" si="4"/>
        <v>0</v>
      </c>
      <c r="J109">
        <f t="shared" si="5"/>
        <v>0</v>
      </c>
    </row>
    <row r="110" spans="1:10" x14ac:dyDescent="0.25">
      <c r="A110" s="5" t="s">
        <v>1135</v>
      </c>
      <c r="B110" s="5" t="s">
        <v>181</v>
      </c>
      <c r="C110" s="12">
        <v>45488</v>
      </c>
      <c r="D110" s="12">
        <v>45518</v>
      </c>
      <c r="E110" s="6">
        <v>67320</v>
      </c>
      <c r="F110" s="12">
        <v>45527</v>
      </c>
      <c r="G110">
        <f t="shared" si="3"/>
        <v>0</v>
      </c>
      <c r="H110">
        <f>IF(AND(G110=1,D110&lt;Synthese!$B$3),1,0)</f>
        <v>0</v>
      </c>
      <c r="I110">
        <f t="shared" si="4"/>
        <v>0</v>
      </c>
      <c r="J110">
        <f t="shared" si="5"/>
        <v>0</v>
      </c>
    </row>
    <row r="111" spans="1:10" x14ac:dyDescent="0.25">
      <c r="A111" s="5" t="s">
        <v>1136</v>
      </c>
      <c r="B111" s="5" t="s">
        <v>181</v>
      </c>
      <c r="C111" s="12">
        <v>45540</v>
      </c>
      <c r="D111" s="12">
        <v>45585</v>
      </c>
      <c r="E111" s="6">
        <v>67320</v>
      </c>
      <c r="F111" s="12">
        <v>45585</v>
      </c>
      <c r="G111">
        <f t="shared" si="3"/>
        <v>0</v>
      </c>
      <c r="H111">
        <f>IF(AND(G111=1,D111&lt;Synthese!$B$3),1,0)</f>
        <v>0</v>
      </c>
      <c r="I111">
        <f t="shared" si="4"/>
        <v>0</v>
      </c>
      <c r="J111">
        <f t="shared" si="5"/>
        <v>0</v>
      </c>
    </row>
    <row r="112" spans="1:10" x14ac:dyDescent="0.25">
      <c r="A112" s="5" t="s">
        <v>1137</v>
      </c>
      <c r="B112" s="5" t="s">
        <v>181</v>
      </c>
      <c r="C112" s="12">
        <v>45577</v>
      </c>
      <c r="D112" s="12">
        <v>45607</v>
      </c>
      <c r="E112" s="6">
        <v>56100</v>
      </c>
      <c r="F112" s="12">
        <v>45604</v>
      </c>
      <c r="G112">
        <f t="shared" si="3"/>
        <v>0</v>
      </c>
      <c r="H112">
        <f>IF(AND(G112=1,D112&lt;Synthese!$B$3),1,0)</f>
        <v>0</v>
      </c>
      <c r="I112">
        <f t="shared" si="4"/>
        <v>0</v>
      </c>
      <c r="J112">
        <f t="shared" si="5"/>
        <v>0</v>
      </c>
    </row>
    <row r="113" spans="1:10" x14ac:dyDescent="0.25">
      <c r="A113" s="5" t="s">
        <v>1138</v>
      </c>
      <c r="B113" s="5" t="s">
        <v>186</v>
      </c>
      <c r="C113" s="12">
        <v>45661</v>
      </c>
      <c r="D113" s="12">
        <v>45706</v>
      </c>
      <c r="E113" s="6">
        <v>23550</v>
      </c>
      <c r="F113" s="12">
        <v>45710</v>
      </c>
      <c r="G113">
        <f t="shared" si="3"/>
        <v>0</v>
      </c>
      <c r="H113">
        <f>IF(AND(G113=1,D113&lt;Synthese!$B$3),1,0)</f>
        <v>0</v>
      </c>
      <c r="I113">
        <f t="shared" si="4"/>
        <v>0</v>
      </c>
      <c r="J113">
        <f t="shared" si="5"/>
        <v>0</v>
      </c>
    </row>
    <row r="114" spans="1:10" x14ac:dyDescent="0.25">
      <c r="A114" s="5" t="s">
        <v>1139</v>
      </c>
      <c r="B114" s="5" t="s">
        <v>186</v>
      </c>
      <c r="C114" s="12">
        <v>45676</v>
      </c>
      <c r="D114" s="12">
        <v>45721</v>
      </c>
      <c r="E114" s="6">
        <v>32970</v>
      </c>
      <c r="F114" s="12">
        <v>45745</v>
      </c>
      <c r="G114">
        <f t="shared" si="3"/>
        <v>0</v>
      </c>
      <c r="H114">
        <f>IF(AND(G114=1,D114&lt;Synthese!$B$3),1,0)</f>
        <v>0</v>
      </c>
      <c r="I114">
        <f t="shared" si="4"/>
        <v>0</v>
      </c>
      <c r="J114">
        <f t="shared" si="5"/>
        <v>0</v>
      </c>
    </row>
    <row r="115" spans="1:10" x14ac:dyDescent="0.25">
      <c r="A115" s="5" t="s">
        <v>1140</v>
      </c>
      <c r="B115" s="5" t="s">
        <v>186</v>
      </c>
      <c r="C115" s="12">
        <v>45703</v>
      </c>
      <c r="D115" s="12">
        <v>45763</v>
      </c>
      <c r="E115" s="6">
        <v>37680</v>
      </c>
      <c r="F115" s="12"/>
      <c r="G115">
        <f t="shared" si="3"/>
        <v>1</v>
      </c>
      <c r="H115">
        <f>IF(AND(G115=1,D115&lt;Synthese!$B$3),1,0)</f>
        <v>1</v>
      </c>
      <c r="I115">
        <f t="shared" si="4"/>
        <v>37680</v>
      </c>
      <c r="J115">
        <f t="shared" si="5"/>
        <v>37680</v>
      </c>
    </row>
    <row r="116" spans="1:10" x14ac:dyDescent="0.25">
      <c r="A116" s="5" t="s">
        <v>1141</v>
      </c>
      <c r="B116" s="5" t="s">
        <v>189</v>
      </c>
      <c r="C116" s="12">
        <v>45453</v>
      </c>
      <c r="D116" s="12">
        <v>45483</v>
      </c>
      <c r="E116" s="6">
        <v>34335</v>
      </c>
      <c r="F116" s="12">
        <v>45487</v>
      </c>
      <c r="G116">
        <f t="shared" si="3"/>
        <v>0</v>
      </c>
      <c r="H116">
        <f>IF(AND(G116=1,D116&lt;Synthese!$B$3),1,0)</f>
        <v>0</v>
      </c>
      <c r="I116">
        <f t="shared" si="4"/>
        <v>0</v>
      </c>
      <c r="J116">
        <f t="shared" si="5"/>
        <v>0</v>
      </c>
    </row>
    <row r="117" spans="1:10" x14ac:dyDescent="0.25">
      <c r="A117" s="5" t="s">
        <v>1142</v>
      </c>
      <c r="B117" s="5" t="s">
        <v>189</v>
      </c>
      <c r="C117" s="12">
        <v>45494</v>
      </c>
      <c r="D117" s="12">
        <v>45524</v>
      </c>
      <c r="E117" s="6">
        <v>68670</v>
      </c>
      <c r="F117" s="12">
        <v>45527</v>
      </c>
      <c r="G117">
        <f t="shared" si="3"/>
        <v>0</v>
      </c>
      <c r="H117">
        <f>IF(AND(G117=1,D117&lt;Synthese!$B$3),1,0)</f>
        <v>0</v>
      </c>
      <c r="I117">
        <f t="shared" si="4"/>
        <v>0</v>
      </c>
      <c r="J117">
        <f t="shared" si="5"/>
        <v>0</v>
      </c>
    </row>
    <row r="118" spans="1:10" x14ac:dyDescent="0.25">
      <c r="A118" s="5" t="s">
        <v>1143</v>
      </c>
      <c r="B118" s="5" t="s">
        <v>189</v>
      </c>
      <c r="C118" s="12">
        <v>45535</v>
      </c>
      <c r="D118" s="12">
        <v>45565</v>
      </c>
      <c r="E118" s="6">
        <v>68670</v>
      </c>
      <c r="F118" s="12">
        <v>45566</v>
      </c>
      <c r="G118">
        <f t="shared" si="3"/>
        <v>0</v>
      </c>
      <c r="H118">
        <f>IF(AND(G118=1,D118&lt;Synthese!$B$3),1,0)</f>
        <v>0</v>
      </c>
      <c r="I118">
        <f t="shared" si="4"/>
        <v>0</v>
      </c>
      <c r="J118">
        <f t="shared" si="5"/>
        <v>0</v>
      </c>
    </row>
    <row r="119" spans="1:10" x14ac:dyDescent="0.25">
      <c r="A119" s="5" t="s">
        <v>1144</v>
      </c>
      <c r="B119" s="5" t="s">
        <v>189</v>
      </c>
      <c r="C119" s="12">
        <v>45582</v>
      </c>
      <c r="D119" s="12">
        <v>45612</v>
      </c>
      <c r="E119" s="6">
        <v>57225</v>
      </c>
      <c r="F119" s="12">
        <v>45613</v>
      </c>
      <c r="G119">
        <f t="shared" si="3"/>
        <v>0</v>
      </c>
      <c r="H119">
        <f>IF(AND(G119=1,D119&lt;Synthese!$B$3),1,0)</f>
        <v>0</v>
      </c>
      <c r="I119">
        <f t="shared" si="4"/>
        <v>0</v>
      </c>
      <c r="J119">
        <f t="shared" si="5"/>
        <v>0</v>
      </c>
    </row>
    <row r="120" spans="1:10" x14ac:dyDescent="0.25">
      <c r="A120" s="5" t="s">
        <v>1145</v>
      </c>
      <c r="B120" s="5" t="s">
        <v>194</v>
      </c>
      <c r="C120" s="12">
        <v>45458</v>
      </c>
      <c r="D120" s="12">
        <v>45503</v>
      </c>
      <c r="E120" s="6">
        <v>25995</v>
      </c>
      <c r="F120" s="12">
        <v>45502</v>
      </c>
      <c r="G120">
        <f t="shared" si="3"/>
        <v>0</v>
      </c>
      <c r="H120">
        <f>IF(AND(G120=1,D120&lt;Synthese!$B$3),1,0)</f>
        <v>0</v>
      </c>
      <c r="I120">
        <f t="shared" si="4"/>
        <v>0</v>
      </c>
      <c r="J120">
        <f t="shared" si="5"/>
        <v>0</v>
      </c>
    </row>
    <row r="121" spans="1:10" x14ac:dyDescent="0.25">
      <c r="A121" s="5" t="s">
        <v>1146</v>
      </c>
      <c r="B121" s="5" t="s">
        <v>194</v>
      </c>
      <c r="C121" s="12">
        <v>45482</v>
      </c>
      <c r="D121" s="12">
        <v>45527</v>
      </c>
      <c r="E121" s="6">
        <v>51990</v>
      </c>
      <c r="F121" s="12">
        <v>45526</v>
      </c>
      <c r="G121">
        <f t="shared" si="3"/>
        <v>0</v>
      </c>
      <c r="H121">
        <f>IF(AND(G121=1,D121&lt;Synthese!$B$3),1,0)</f>
        <v>0</v>
      </c>
      <c r="I121">
        <f t="shared" si="4"/>
        <v>0</v>
      </c>
      <c r="J121">
        <f t="shared" si="5"/>
        <v>0</v>
      </c>
    </row>
    <row r="122" spans="1:10" x14ac:dyDescent="0.25">
      <c r="A122" s="5" t="s">
        <v>1147</v>
      </c>
      <c r="B122" s="5" t="s">
        <v>194</v>
      </c>
      <c r="C122" s="12">
        <v>45506</v>
      </c>
      <c r="D122" s="12">
        <v>45536</v>
      </c>
      <c r="E122" s="6">
        <v>51990</v>
      </c>
      <c r="F122" s="12">
        <v>45534</v>
      </c>
      <c r="G122">
        <f t="shared" si="3"/>
        <v>0</v>
      </c>
      <c r="H122">
        <f>IF(AND(G122=1,D122&lt;Synthese!$B$3),1,0)</f>
        <v>0</v>
      </c>
      <c r="I122">
        <f t="shared" si="4"/>
        <v>0</v>
      </c>
      <c r="J122">
        <f t="shared" si="5"/>
        <v>0</v>
      </c>
    </row>
    <row r="123" spans="1:10" x14ac:dyDescent="0.25">
      <c r="A123" s="5" t="s">
        <v>1148</v>
      </c>
      <c r="B123" s="5" t="s">
        <v>194</v>
      </c>
      <c r="C123" s="12">
        <v>45524</v>
      </c>
      <c r="D123" s="12">
        <v>45569</v>
      </c>
      <c r="E123" s="6">
        <v>43325</v>
      </c>
      <c r="F123" s="12">
        <v>45570</v>
      </c>
      <c r="G123">
        <f t="shared" si="3"/>
        <v>0</v>
      </c>
      <c r="H123">
        <f>IF(AND(G123=1,D123&lt;Synthese!$B$3),1,0)</f>
        <v>0</v>
      </c>
      <c r="I123">
        <f t="shared" si="4"/>
        <v>0</v>
      </c>
      <c r="J123">
        <f t="shared" si="5"/>
        <v>0</v>
      </c>
    </row>
    <row r="124" spans="1:10" x14ac:dyDescent="0.25">
      <c r="A124" s="5" t="s">
        <v>1149</v>
      </c>
      <c r="B124" s="5" t="s">
        <v>196</v>
      </c>
      <c r="C124" s="12">
        <v>45403</v>
      </c>
      <c r="D124" s="12">
        <v>45433</v>
      </c>
      <c r="E124" s="6">
        <v>25750</v>
      </c>
      <c r="F124" s="12">
        <v>45431</v>
      </c>
      <c r="G124">
        <f t="shared" si="3"/>
        <v>0</v>
      </c>
      <c r="H124">
        <f>IF(AND(G124=1,D124&lt;Synthese!$B$3),1,0)</f>
        <v>0</v>
      </c>
      <c r="I124">
        <f t="shared" si="4"/>
        <v>0</v>
      </c>
      <c r="J124">
        <f t="shared" si="5"/>
        <v>0</v>
      </c>
    </row>
    <row r="125" spans="1:10" x14ac:dyDescent="0.25">
      <c r="A125" s="5" t="s">
        <v>1150</v>
      </c>
      <c r="B125" s="5" t="s">
        <v>196</v>
      </c>
      <c r="C125" s="12">
        <v>45445</v>
      </c>
      <c r="D125" s="12">
        <v>45475</v>
      </c>
      <c r="E125" s="6">
        <v>36050</v>
      </c>
      <c r="F125" s="12">
        <v>45486</v>
      </c>
      <c r="G125">
        <f t="shared" si="3"/>
        <v>0</v>
      </c>
      <c r="H125">
        <f>IF(AND(G125=1,D125&lt;Synthese!$B$3),1,0)</f>
        <v>0</v>
      </c>
      <c r="I125">
        <f t="shared" si="4"/>
        <v>0</v>
      </c>
      <c r="J125">
        <f t="shared" si="5"/>
        <v>0</v>
      </c>
    </row>
    <row r="126" spans="1:10" x14ac:dyDescent="0.25">
      <c r="A126" s="5" t="s">
        <v>1151</v>
      </c>
      <c r="B126" s="5" t="s">
        <v>196</v>
      </c>
      <c r="C126" s="12">
        <v>45487</v>
      </c>
      <c r="D126" s="12">
        <v>45532</v>
      </c>
      <c r="E126" s="6">
        <v>41200</v>
      </c>
      <c r="F126" s="12">
        <v>45531</v>
      </c>
      <c r="G126">
        <f t="shared" si="3"/>
        <v>0</v>
      </c>
      <c r="H126">
        <f>IF(AND(G126=1,D126&lt;Synthese!$B$3),1,0)</f>
        <v>0</v>
      </c>
      <c r="I126">
        <f t="shared" si="4"/>
        <v>0</v>
      </c>
      <c r="J126">
        <f t="shared" si="5"/>
        <v>0</v>
      </c>
    </row>
    <row r="127" spans="1:10" x14ac:dyDescent="0.25">
      <c r="A127" s="5" t="s">
        <v>1152</v>
      </c>
      <c r="B127" s="5" t="s">
        <v>199</v>
      </c>
      <c r="C127" s="12">
        <v>45406</v>
      </c>
      <c r="D127" s="12">
        <v>45436</v>
      </c>
      <c r="E127" s="6">
        <v>33300</v>
      </c>
      <c r="F127" s="12">
        <v>45437</v>
      </c>
      <c r="G127">
        <f t="shared" si="3"/>
        <v>0</v>
      </c>
      <c r="H127">
        <f>IF(AND(G127=1,D127&lt;Synthese!$B$3),1,0)</f>
        <v>0</v>
      </c>
      <c r="I127">
        <f t="shared" si="4"/>
        <v>0</v>
      </c>
      <c r="J127">
        <f t="shared" si="5"/>
        <v>0</v>
      </c>
    </row>
    <row r="128" spans="1:10" x14ac:dyDescent="0.25">
      <c r="A128" s="5" t="s">
        <v>1153</v>
      </c>
      <c r="B128" s="5" t="s">
        <v>199</v>
      </c>
      <c r="C128" s="12">
        <v>45449</v>
      </c>
      <c r="D128" s="12">
        <v>45494</v>
      </c>
      <c r="E128" s="6">
        <v>66600</v>
      </c>
      <c r="F128" s="12">
        <v>45495</v>
      </c>
      <c r="G128">
        <f t="shared" si="3"/>
        <v>0</v>
      </c>
      <c r="H128">
        <f>IF(AND(G128=1,D128&lt;Synthese!$B$3),1,0)</f>
        <v>0</v>
      </c>
      <c r="I128">
        <f t="shared" si="4"/>
        <v>0</v>
      </c>
      <c r="J128">
        <f t="shared" si="5"/>
        <v>0</v>
      </c>
    </row>
    <row r="129" spans="1:10" x14ac:dyDescent="0.25">
      <c r="A129" s="5" t="s">
        <v>1154</v>
      </c>
      <c r="B129" s="5" t="s">
        <v>199</v>
      </c>
      <c r="C129" s="12">
        <v>45486</v>
      </c>
      <c r="D129" s="12">
        <v>45516</v>
      </c>
      <c r="E129" s="6">
        <v>66600</v>
      </c>
      <c r="F129" s="12">
        <v>45526</v>
      </c>
      <c r="G129">
        <f t="shared" si="3"/>
        <v>0</v>
      </c>
      <c r="H129">
        <f>IF(AND(G129=1,D129&lt;Synthese!$B$3),1,0)</f>
        <v>0</v>
      </c>
      <c r="I129">
        <f t="shared" si="4"/>
        <v>0</v>
      </c>
      <c r="J129">
        <f t="shared" si="5"/>
        <v>0</v>
      </c>
    </row>
    <row r="130" spans="1:10" x14ac:dyDescent="0.25">
      <c r="A130" s="5" t="s">
        <v>1155</v>
      </c>
      <c r="B130" s="5" t="s">
        <v>199</v>
      </c>
      <c r="C130" s="12">
        <v>45531</v>
      </c>
      <c r="D130" s="12">
        <v>45576</v>
      </c>
      <c r="E130" s="6">
        <v>55500</v>
      </c>
      <c r="F130" s="12">
        <v>45574</v>
      </c>
      <c r="G130">
        <f t="shared" ref="G130:G193" si="6">IF(F130="",1,0)</f>
        <v>0</v>
      </c>
      <c r="H130">
        <f>IF(AND(G130=1,D130&lt;Synthese!$B$3),1,0)</f>
        <v>0</v>
      </c>
      <c r="I130">
        <f t="shared" ref="I130:I193" si="7">IF(G130=1,E130,0)</f>
        <v>0</v>
      </c>
      <c r="J130">
        <f t="shared" ref="J130:J193" si="8">IF(H130=1,E130,0)</f>
        <v>0</v>
      </c>
    </row>
    <row r="131" spans="1:10" x14ac:dyDescent="0.25">
      <c r="A131" s="5" t="s">
        <v>1156</v>
      </c>
      <c r="B131" s="5" t="s">
        <v>204</v>
      </c>
      <c r="C131" s="12">
        <v>45576</v>
      </c>
      <c r="D131" s="12">
        <v>45636</v>
      </c>
      <c r="E131" s="6">
        <v>19275</v>
      </c>
      <c r="F131" s="12">
        <v>45637</v>
      </c>
      <c r="G131">
        <f t="shared" si="6"/>
        <v>0</v>
      </c>
      <c r="H131">
        <f>IF(AND(G131=1,D131&lt;Synthese!$B$3),1,0)</f>
        <v>0</v>
      </c>
      <c r="I131">
        <f t="shared" si="7"/>
        <v>0</v>
      </c>
      <c r="J131">
        <f t="shared" si="8"/>
        <v>0</v>
      </c>
    </row>
    <row r="132" spans="1:10" x14ac:dyDescent="0.25">
      <c r="A132" s="5" t="s">
        <v>1157</v>
      </c>
      <c r="B132" s="5" t="s">
        <v>204</v>
      </c>
      <c r="C132" s="12">
        <v>45606</v>
      </c>
      <c r="D132" s="12">
        <v>45666</v>
      </c>
      <c r="E132" s="6">
        <v>26985</v>
      </c>
      <c r="F132" s="12">
        <v>45667</v>
      </c>
      <c r="G132">
        <f t="shared" si="6"/>
        <v>0</v>
      </c>
      <c r="H132">
        <f>IF(AND(G132=1,D132&lt;Synthese!$B$3),1,0)</f>
        <v>0</v>
      </c>
      <c r="I132">
        <f t="shared" si="7"/>
        <v>0</v>
      </c>
      <c r="J132">
        <f t="shared" si="8"/>
        <v>0</v>
      </c>
    </row>
    <row r="133" spans="1:10" x14ac:dyDescent="0.25">
      <c r="A133" s="5" t="s">
        <v>1158</v>
      </c>
      <c r="B133" s="5" t="s">
        <v>204</v>
      </c>
      <c r="C133" s="12">
        <v>45625</v>
      </c>
      <c r="D133" s="12">
        <v>45685</v>
      </c>
      <c r="E133" s="6">
        <v>30840</v>
      </c>
      <c r="F133" s="12">
        <v>45722</v>
      </c>
      <c r="G133">
        <f t="shared" si="6"/>
        <v>0</v>
      </c>
      <c r="H133">
        <f>IF(AND(G133=1,D133&lt;Synthese!$B$3),1,0)</f>
        <v>0</v>
      </c>
      <c r="I133">
        <f t="shared" si="7"/>
        <v>0</v>
      </c>
      <c r="J133">
        <f t="shared" si="8"/>
        <v>0</v>
      </c>
    </row>
    <row r="134" spans="1:10" x14ac:dyDescent="0.25">
      <c r="A134" s="5" t="s">
        <v>1159</v>
      </c>
      <c r="B134" s="5" t="s">
        <v>207</v>
      </c>
      <c r="C134" s="12">
        <v>45492</v>
      </c>
      <c r="D134" s="12">
        <v>45552</v>
      </c>
      <c r="E134" s="6">
        <v>16280</v>
      </c>
      <c r="F134" s="12">
        <v>45600</v>
      </c>
      <c r="G134">
        <f t="shared" si="6"/>
        <v>0</v>
      </c>
      <c r="H134">
        <f>IF(AND(G134=1,D134&lt;Synthese!$B$3),1,0)</f>
        <v>0</v>
      </c>
      <c r="I134">
        <f t="shared" si="7"/>
        <v>0</v>
      </c>
      <c r="J134">
        <f t="shared" si="8"/>
        <v>0</v>
      </c>
    </row>
    <row r="135" spans="1:10" x14ac:dyDescent="0.25">
      <c r="A135" s="5" t="s">
        <v>1160</v>
      </c>
      <c r="B135" s="5" t="s">
        <v>207</v>
      </c>
      <c r="C135" s="12">
        <v>45531</v>
      </c>
      <c r="D135" s="12">
        <v>45576</v>
      </c>
      <c r="E135" s="6">
        <v>24420</v>
      </c>
      <c r="F135" s="12">
        <v>45624</v>
      </c>
      <c r="G135">
        <f t="shared" si="6"/>
        <v>0</v>
      </c>
      <c r="H135">
        <f>IF(AND(G135=1,D135&lt;Synthese!$B$3),1,0)</f>
        <v>0</v>
      </c>
      <c r="I135">
        <f t="shared" si="7"/>
        <v>0</v>
      </c>
      <c r="J135">
        <f t="shared" si="8"/>
        <v>0</v>
      </c>
    </row>
    <row r="136" spans="1:10" x14ac:dyDescent="0.25">
      <c r="A136" s="5" t="s">
        <v>1161</v>
      </c>
      <c r="B136" s="5" t="s">
        <v>210</v>
      </c>
      <c r="C136" s="12">
        <v>45410</v>
      </c>
      <c r="D136" s="12">
        <v>45455</v>
      </c>
      <c r="E136" s="6">
        <v>18080</v>
      </c>
      <c r="F136" s="12">
        <v>45458</v>
      </c>
      <c r="G136">
        <f t="shared" si="6"/>
        <v>0</v>
      </c>
      <c r="H136">
        <f>IF(AND(G136=1,D136&lt;Synthese!$B$3),1,0)</f>
        <v>0</v>
      </c>
      <c r="I136">
        <f t="shared" si="7"/>
        <v>0</v>
      </c>
      <c r="J136">
        <f t="shared" si="8"/>
        <v>0</v>
      </c>
    </row>
    <row r="137" spans="1:10" x14ac:dyDescent="0.25">
      <c r="A137" s="5" t="s">
        <v>1162</v>
      </c>
      <c r="B137" s="5" t="s">
        <v>210</v>
      </c>
      <c r="C137" s="12">
        <v>45453</v>
      </c>
      <c r="D137" s="12">
        <v>45483</v>
      </c>
      <c r="E137" s="6">
        <v>27120</v>
      </c>
      <c r="F137" s="12"/>
      <c r="G137">
        <f t="shared" si="6"/>
        <v>1</v>
      </c>
      <c r="H137">
        <f>IF(AND(G137=1,D137&lt;Synthese!$B$3),1,0)</f>
        <v>1</v>
      </c>
      <c r="I137">
        <f t="shared" si="7"/>
        <v>27120</v>
      </c>
      <c r="J137">
        <f t="shared" si="8"/>
        <v>27120</v>
      </c>
    </row>
    <row r="138" spans="1:10" x14ac:dyDescent="0.25">
      <c r="A138" s="5" t="s">
        <v>1163</v>
      </c>
      <c r="B138" s="5" t="s">
        <v>213</v>
      </c>
      <c r="C138" s="12">
        <v>45313</v>
      </c>
      <c r="D138" s="12">
        <v>45343</v>
      </c>
      <c r="E138" s="6">
        <v>22125</v>
      </c>
      <c r="F138" s="12">
        <v>45343</v>
      </c>
      <c r="G138">
        <f t="shared" si="6"/>
        <v>0</v>
      </c>
      <c r="H138">
        <f>IF(AND(G138=1,D138&lt;Synthese!$B$3),1,0)</f>
        <v>0</v>
      </c>
      <c r="I138">
        <f t="shared" si="7"/>
        <v>0</v>
      </c>
      <c r="J138">
        <f t="shared" si="8"/>
        <v>0</v>
      </c>
    </row>
    <row r="139" spans="1:10" x14ac:dyDescent="0.25">
      <c r="A139" s="5" t="s">
        <v>1164</v>
      </c>
      <c r="B139" s="5" t="s">
        <v>213</v>
      </c>
      <c r="C139" s="12">
        <v>45339</v>
      </c>
      <c r="D139" s="12">
        <v>45369</v>
      </c>
      <c r="E139" s="6">
        <v>30975</v>
      </c>
      <c r="F139" s="12">
        <v>45369</v>
      </c>
      <c r="G139">
        <f t="shared" si="6"/>
        <v>0</v>
      </c>
      <c r="H139">
        <f>IF(AND(G139=1,D139&lt;Synthese!$B$3),1,0)</f>
        <v>0</v>
      </c>
      <c r="I139">
        <f t="shared" si="7"/>
        <v>0</v>
      </c>
      <c r="J139">
        <f t="shared" si="8"/>
        <v>0</v>
      </c>
    </row>
    <row r="140" spans="1:10" x14ac:dyDescent="0.25">
      <c r="A140" s="5" t="s">
        <v>1165</v>
      </c>
      <c r="B140" s="5" t="s">
        <v>213</v>
      </c>
      <c r="C140" s="12">
        <v>45359</v>
      </c>
      <c r="D140" s="12">
        <v>45404</v>
      </c>
      <c r="E140" s="6">
        <v>35400</v>
      </c>
      <c r="F140" s="12">
        <v>45401</v>
      </c>
      <c r="G140">
        <f t="shared" si="6"/>
        <v>0</v>
      </c>
      <c r="H140">
        <f>IF(AND(G140=1,D140&lt;Synthese!$B$3),1,0)</f>
        <v>0</v>
      </c>
      <c r="I140">
        <f t="shared" si="7"/>
        <v>0</v>
      </c>
      <c r="J140">
        <f t="shared" si="8"/>
        <v>0</v>
      </c>
    </row>
    <row r="141" spans="1:10" x14ac:dyDescent="0.25">
      <c r="A141" s="5" t="s">
        <v>1166</v>
      </c>
      <c r="B141" s="5" t="s">
        <v>216</v>
      </c>
      <c r="C141" s="12">
        <v>45429</v>
      </c>
      <c r="D141" s="12">
        <v>45489</v>
      </c>
      <c r="E141" s="6">
        <v>24360</v>
      </c>
      <c r="F141" s="12">
        <v>45493</v>
      </c>
      <c r="G141">
        <f t="shared" si="6"/>
        <v>0</v>
      </c>
      <c r="H141">
        <f>IF(AND(G141=1,D141&lt;Synthese!$B$3),1,0)</f>
        <v>0</v>
      </c>
      <c r="I141">
        <f t="shared" si="7"/>
        <v>0</v>
      </c>
      <c r="J141">
        <f t="shared" si="8"/>
        <v>0</v>
      </c>
    </row>
    <row r="142" spans="1:10" x14ac:dyDescent="0.25">
      <c r="A142" s="5" t="s">
        <v>1167</v>
      </c>
      <c r="B142" s="5" t="s">
        <v>216</v>
      </c>
      <c r="C142" s="12">
        <v>45460</v>
      </c>
      <c r="D142" s="12">
        <v>45520</v>
      </c>
      <c r="E142" s="6">
        <v>48720</v>
      </c>
      <c r="F142" s="12">
        <v>45524</v>
      </c>
      <c r="G142">
        <f t="shared" si="6"/>
        <v>0</v>
      </c>
      <c r="H142">
        <f>IF(AND(G142=1,D142&lt;Synthese!$B$3),1,0)</f>
        <v>0</v>
      </c>
      <c r="I142">
        <f t="shared" si="7"/>
        <v>0</v>
      </c>
      <c r="J142">
        <f t="shared" si="8"/>
        <v>0</v>
      </c>
    </row>
    <row r="143" spans="1:10" x14ac:dyDescent="0.25">
      <c r="A143" s="5" t="s">
        <v>1168</v>
      </c>
      <c r="B143" s="5" t="s">
        <v>216</v>
      </c>
      <c r="C143" s="12">
        <v>45507</v>
      </c>
      <c r="D143" s="12">
        <v>45552</v>
      </c>
      <c r="E143" s="6">
        <v>48720</v>
      </c>
      <c r="F143" s="12">
        <v>45578</v>
      </c>
      <c r="G143">
        <f t="shared" si="6"/>
        <v>0</v>
      </c>
      <c r="H143">
        <f>IF(AND(G143=1,D143&lt;Synthese!$B$3),1,0)</f>
        <v>0</v>
      </c>
      <c r="I143">
        <f t="shared" si="7"/>
        <v>0</v>
      </c>
      <c r="J143">
        <f t="shared" si="8"/>
        <v>0</v>
      </c>
    </row>
    <row r="144" spans="1:10" x14ac:dyDescent="0.25">
      <c r="A144" s="5" t="s">
        <v>1169</v>
      </c>
      <c r="B144" s="5" t="s">
        <v>216</v>
      </c>
      <c r="C144" s="12">
        <v>45560</v>
      </c>
      <c r="D144" s="12">
        <v>45605</v>
      </c>
      <c r="E144" s="6">
        <v>40600</v>
      </c>
      <c r="F144" s="12">
        <v>45656</v>
      </c>
      <c r="G144">
        <f t="shared" si="6"/>
        <v>0</v>
      </c>
      <c r="H144">
        <f>IF(AND(G144=1,D144&lt;Synthese!$B$3),1,0)</f>
        <v>0</v>
      </c>
      <c r="I144">
        <f t="shared" si="7"/>
        <v>0</v>
      </c>
      <c r="J144">
        <f t="shared" si="8"/>
        <v>0</v>
      </c>
    </row>
    <row r="145" spans="1:10" x14ac:dyDescent="0.25">
      <c r="A145" s="5" t="s">
        <v>1170</v>
      </c>
      <c r="B145" s="5" t="s">
        <v>219</v>
      </c>
      <c r="C145" s="12">
        <v>45758</v>
      </c>
      <c r="D145" s="12">
        <v>45803</v>
      </c>
      <c r="E145" s="6">
        <v>39585</v>
      </c>
      <c r="F145" s="12">
        <v>45837</v>
      </c>
      <c r="G145">
        <f t="shared" si="6"/>
        <v>0</v>
      </c>
      <c r="H145">
        <f>IF(AND(G145=1,D145&lt;Synthese!$B$3),1,0)</f>
        <v>0</v>
      </c>
      <c r="I145">
        <f t="shared" si="7"/>
        <v>0</v>
      </c>
      <c r="J145">
        <f t="shared" si="8"/>
        <v>0</v>
      </c>
    </row>
    <row r="146" spans="1:10" x14ac:dyDescent="0.25">
      <c r="A146" s="5" t="s">
        <v>1171</v>
      </c>
      <c r="B146" s="5" t="s">
        <v>219</v>
      </c>
      <c r="C146" s="12">
        <v>45820</v>
      </c>
      <c r="D146" s="12">
        <v>45880</v>
      </c>
      <c r="E146" s="6">
        <v>79170</v>
      </c>
      <c r="F146" s="12">
        <v>45883</v>
      </c>
      <c r="G146">
        <f t="shared" si="6"/>
        <v>0</v>
      </c>
      <c r="H146">
        <f>IF(AND(G146=1,D146&lt;Synthese!$B$3),1,0)</f>
        <v>0</v>
      </c>
      <c r="I146">
        <f t="shared" si="7"/>
        <v>0</v>
      </c>
      <c r="J146">
        <f t="shared" si="8"/>
        <v>0</v>
      </c>
    </row>
    <row r="147" spans="1:10" x14ac:dyDescent="0.25">
      <c r="A147" s="5" t="s">
        <v>1172</v>
      </c>
      <c r="B147" s="5" t="s">
        <v>219</v>
      </c>
      <c r="C147" s="12">
        <v>45875</v>
      </c>
      <c r="D147" s="12">
        <v>45935</v>
      </c>
      <c r="E147" s="6">
        <v>79170</v>
      </c>
      <c r="F147" s="12">
        <v>45947</v>
      </c>
      <c r="G147">
        <f t="shared" si="6"/>
        <v>0</v>
      </c>
      <c r="H147">
        <f>IF(AND(G147=1,D147&lt;Synthese!$B$3),1,0)</f>
        <v>0</v>
      </c>
      <c r="I147">
        <f t="shared" si="7"/>
        <v>0</v>
      </c>
      <c r="J147">
        <f t="shared" si="8"/>
        <v>0</v>
      </c>
    </row>
    <row r="148" spans="1:10" x14ac:dyDescent="0.25">
      <c r="A148" s="5" t="s">
        <v>1173</v>
      </c>
      <c r="B148" s="5" t="s">
        <v>219</v>
      </c>
      <c r="C148" s="12">
        <v>45931</v>
      </c>
      <c r="D148" s="12">
        <v>45991</v>
      </c>
      <c r="E148" s="6">
        <v>65975</v>
      </c>
      <c r="F148" s="12">
        <v>45995</v>
      </c>
      <c r="G148">
        <f t="shared" si="6"/>
        <v>0</v>
      </c>
      <c r="H148">
        <f>IF(AND(G148=1,D148&lt;Synthese!$B$3),1,0)</f>
        <v>0</v>
      </c>
      <c r="I148">
        <f t="shared" si="7"/>
        <v>0</v>
      </c>
      <c r="J148">
        <f t="shared" si="8"/>
        <v>0</v>
      </c>
    </row>
    <row r="149" spans="1:10" x14ac:dyDescent="0.25">
      <c r="A149" s="5" t="s">
        <v>1174</v>
      </c>
      <c r="B149" s="5" t="s">
        <v>221</v>
      </c>
      <c r="C149" s="12">
        <v>45964</v>
      </c>
      <c r="D149" s="12">
        <v>45994</v>
      </c>
      <c r="E149" s="6">
        <v>21525</v>
      </c>
      <c r="F149" s="12">
        <v>45993</v>
      </c>
      <c r="G149">
        <f t="shared" si="6"/>
        <v>0</v>
      </c>
      <c r="H149">
        <f>IF(AND(G149=1,D149&lt;Synthese!$B$3),1,0)</f>
        <v>0</v>
      </c>
      <c r="I149">
        <f t="shared" si="7"/>
        <v>0</v>
      </c>
      <c r="J149">
        <f t="shared" si="8"/>
        <v>0</v>
      </c>
    </row>
    <row r="150" spans="1:10" x14ac:dyDescent="0.25">
      <c r="A150" s="5" t="s">
        <v>1175</v>
      </c>
      <c r="B150" s="5" t="s">
        <v>221</v>
      </c>
      <c r="C150" s="12">
        <v>46004</v>
      </c>
      <c r="D150" s="12">
        <v>46034</v>
      </c>
      <c r="E150" s="6">
        <v>43050</v>
      </c>
      <c r="F150" s="12">
        <v>46049</v>
      </c>
      <c r="G150">
        <f t="shared" si="6"/>
        <v>0</v>
      </c>
      <c r="H150">
        <f>IF(AND(G150=1,D150&lt;Synthese!$B$3),1,0)</f>
        <v>0</v>
      </c>
      <c r="I150">
        <f t="shared" si="7"/>
        <v>0</v>
      </c>
      <c r="J150">
        <f t="shared" si="8"/>
        <v>0</v>
      </c>
    </row>
    <row r="151" spans="1:10" x14ac:dyDescent="0.25">
      <c r="A151" s="5" t="s">
        <v>1176</v>
      </c>
      <c r="B151" s="5" t="s">
        <v>221</v>
      </c>
      <c r="C151" s="12">
        <v>46022</v>
      </c>
      <c r="D151" s="12">
        <v>46052</v>
      </c>
      <c r="E151" s="6">
        <v>43050</v>
      </c>
      <c r="F151" s="12">
        <v>46050</v>
      </c>
      <c r="G151">
        <f t="shared" si="6"/>
        <v>0</v>
      </c>
      <c r="H151">
        <f>IF(AND(G151=1,D151&lt;Synthese!$B$3),1,0)</f>
        <v>0</v>
      </c>
      <c r="I151">
        <f t="shared" si="7"/>
        <v>0</v>
      </c>
      <c r="J151">
        <f t="shared" si="8"/>
        <v>0</v>
      </c>
    </row>
    <row r="152" spans="1:10" x14ac:dyDescent="0.25">
      <c r="A152" s="5" t="s">
        <v>1177</v>
      </c>
      <c r="B152" s="5" t="s">
        <v>221</v>
      </c>
      <c r="C152" s="12">
        <v>46022</v>
      </c>
      <c r="D152" s="12">
        <v>46067</v>
      </c>
      <c r="E152" s="6">
        <v>35875</v>
      </c>
      <c r="F152" s="12">
        <v>46070</v>
      </c>
      <c r="G152">
        <f t="shared" si="6"/>
        <v>0</v>
      </c>
      <c r="H152">
        <f>IF(AND(G152=1,D152&lt;Synthese!$B$3),1,0)</f>
        <v>0</v>
      </c>
      <c r="I152">
        <f t="shared" si="7"/>
        <v>0</v>
      </c>
      <c r="J152">
        <f t="shared" si="8"/>
        <v>0</v>
      </c>
    </row>
    <row r="153" spans="1:10" x14ac:dyDescent="0.25">
      <c r="A153" s="5" t="s">
        <v>1178</v>
      </c>
      <c r="B153" s="5" t="s">
        <v>226</v>
      </c>
      <c r="C153" s="12">
        <v>45870</v>
      </c>
      <c r="D153" s="12">
        <v>45915</v>
      </c>
      <c r="E153" s="6">
        <v>16275</v>
      </c>
      <c r="F153" s="12">
        <v>45912</v>
      </c>
      <c r="G153">
        <f t="shared" si="6"/>
        <v>0</v>
      </c>
      <c r="H153">
        <f>IF(AND(G153=1,D153&lt;Synthese!$B$3),1,0)</f>
        <v>0</v>
      </c>
      <c r="I153">
        <f t="shared" si="7"/>
        <v>0</v>
      </c>
      <c r="J153">
        <f t="shared" si="8"/>
        <v>0</v>
      </c>
    </row>
    <row r="154" spans="1:10" x14ac:dyDescent="0.25">
      <c r="A154" s="5" t="s">
        <v>1179</v>
      </c>
      <c r="B154" s="5" t="s">
        <v>226</v>
      </c>
      <c r="C154" s="12">
        <v>45900</v>
      </c>
      <c r="D154" s="12">
        <v>45930</v>
      </c>
      <c r="E154" s="6">
        <v>22785</v>
      </c>
      <c r="F154" s="12">
        <v>45929</v>
      </c>
      <c r="G154">
        <f t="shared" si="6"/>
        <v>0</v>
      </c>
      <c r="H154">
        <f>IF(AND(G154=1,D154&lt;Synthese!$B$3),1,0)</f>
        <v>0</v>
      </c>
      <c r="I154">
        <f t="shared" si="7"/>
        <v>0</v>
      </c>
      <c r="J154">
        <f t="shared" si="8"/>
        <v>0</v>
      </c>
    </row>
    <row r="155" spans="1:10" x14ac:dyDescent="0.25">
      <c r="A155" s="5" t="s">
        <v>1180</v>
      </c>
      <c r="B155" s="5" t="s">
        <v>226</v>
      </c>
      <c r="C155" s="12">
        <v>45939</v>
      </c>
      <c r="D155" s="12">
        <v>45984</v>
      </c>
      <c r="E155" s="6">
        <v>26040</v>
      </c>
      <c r="F155" s="12"/>
      <c r="G155">
        <f t="shared" si="6"/>
        <v>1</v>
      </c>
      <c r="H155">
        <f>IF(AND(G155=1,D155&lt;Synthese!$B$3),1,0)</f>
        <v>1</v>
      </c>
      <c r="I155">
        <f t="shared" si="7"/>
        <v>26040</v>
      </c>
      <c r="J155">
        <f t="shared" si="8"/>
        <v>26040</v>
      </c>
    </row>
    <row r="156" spans="1:10" x14ac:dyDescent="0.25">
      <c r="A156" s="5" t="s">
        <v>1181</v>
      </c>
      <c r="B156" s="5" t="s">
        <v>229</v>
      </c>
      <c r="C156" s="12">
        <v>46001</v>
      </c>
      <c r="D156" s="12">
        <v>46046</v>
      </c>
      <c r="E156" s="6">
        <v>30135</v>
      </c>
      <c r="F156" s="12">
        <v>46050</v>
      </c>
      <c r="G156">
        <f t="shared" si="6"/>
        <v>0</v>
      </c>
      <c r="H156">
        <f>IF(AND(G156=1,D156&lt;Synthese!$B$3),1,0)</f>
        <v>0</v>
      </c>
      <c r="I156">
        <f t="shared" si="7"/>
        <v>0</v>
      </c>
      <c r="J156">
        <f t="shared" si="8"/>
        <v>0</v>
      </c>
    </row>
    <row r="157" spans="1:10" x14ac:dyDescent="0.25">
      <c r="A157" s="5" t="s">
        <v>1182</v>
      </c>
      <c r="B157" s="5" t="s">
        <v>229</v>
      </c>
      <c r="C157" s="12">
        <v>46022</v>
      </c>
      <c r="D157" s="12">
        <v>46067</v>
      </c>
      <c r="E157" s="6">
        <v>60270</v>
      </c>
      <c r="F157" s="12">
        <v>46071</v>
      </c>
      <c r="G157">
        <f t="shared" si="6"/>
        <v>0</v>
      </c>
      <c r="H157">
        <f>IF(AND(G157=1,D157&lt;Synthese!$B$3),1,0)</f>
        <v>0</v>
      </c>
      <c r="I157">
        <f t="shared" si="7"/>
        <v>0</v>
      </c>
      <c r="J157">
        <f t="shared" si="8"/>
        <v>0</v>
      </c>
    </row>
    <row r="158" spans="1:10" x14ac:dyDescent="0.25">
      <c r="A158" s="5" t="s">
        <v>1183</v>
      </c>
      <c r="B158" s="5" t="s">
        <v>229</v>
      </c>
      <c r="C158" s="12">
        <v>46022</v>
      </c>
      <c r="D158" s="12">
        <v>46082</v>
      </c>
      <c r="E158" s="6">
        <v>60270</v>
      </c>
      <c r="F158" s="12">
        <v>46097</v>
      </c>
      <c r="G158">
        <f t="shared" si="6"/>
        <v>0</v>
      </c>
      <c r="H158">
        <f>IF(AND(G158=1,D158&lt;Synthese!$B$3),1,0)</f>
        <v>0</v>
      </c>
      <c r="I158">
        <f t="shared" si="7"/>
        <v>0</v>
      </c>
      <c r="J158">
        <f t="shared" si="8"/>
        <v>0</v>
      </c>
    </row>
    <row r="159" spans="1:10" x14ac:dyDescent="0.25">
      <c r="A159" s="5" t="s">
        <v>1184</v>
      </c>
      <c r="B159" s="5" t="s">
        <v>229</v>
      </c>
      <c r="C159" s="12">
        <v>46022</v>
      </c>
      <c r="D159" s="12">
        <v>46082</v>
      </c>
      <c r="E159" s="6">
        <v>50225</v>
      </c>
      <c r="F159" s="12">
        <v>46104</v>
      </c>
      <c r="G159">
        <f t="shared" si="6"/>
        <v>0</v>
      </c>
      <c r="H159">
        <f>IF(AND(G159=1,D159&lt;Synthese!$B$3),1,0)</f>
        <v>0</v>
      </c>
      <c r="I159">
        <f t="shared" si="7"/>
        <v>0</v>
      </c>
      <c r="J159">
        <f t="shared" si="8"/>
        <v>0</v>
      </c>
    </row>
    <row r="160" spans="1:10" x14ac:dyDescent="0.25">
      <c r="A160" s="5" t="s">
        <v>1185</v>
      </c>
      <c r="B160" s="5" t="s">
        <v>232</v>
      </c>
      <c r="C160" s="12">
        <v>45791</v>
      </c>
      <c r="D160" s="12">
        <v>45806</v>
      </c>
      <c r="E160" s="6">
        <v>17475</v>
      </c>
      <c r="F160" s="12">
        <v>45811</v>
      </c>
      <c r="G160">
        <f t="shared" si="6"/>
        <v>0</v>
      </c>
      <c r="H160">
        <f>IF(AND(G160=1,D160&lt;Synthese!$B$3),1,0)</f>
        <v>0</v>
      </c>
      <c r="I160">
        <f t="shared" si="7"/>
        <v>0</v>
      </c>
      <c r="J160">
        <f t="shared" si="8"/>
        <v>0</v>
      </c>
    </row>
    <row r="161" spans="1:10" x14ac:dyDescent="0.25">
      <c r="A161" s="5" t="s">
        <v>1186</v>
      </c>
      <c r="B161" s="5" t="s">
        <v>232</v>
      </c>
      <c r="C161" s="12">
        <v>45835</v>
      </c>
      <c r="D161" s="12">
        <v>45865</v>
      </c>
      <c r="E161" s="6">
        <v>24465</v>
      </c>
      <c r="F161" s="12">
        <v>45869</v>
      </c>
      <c r="G161">
        <f t="shared" si="6"/>
        <v>0</v>
      </c>
      <c r="H161">
        <f>IF(AND(G161=1,D161&lt;Synthese!$B$3),1,0)</f>
        <v>0</v>
      </c>
      <c r="I161">
        <f t="shared" si="7"/>
        <v>0</v>
      </c>
      <c r="J161">
        <f t="shared" si="8"/>
        <v>0</v>
      </c>
    </row>
    <row r="162" spans="1:10" x14ac:dyDescent="0.25">
      <c r="A162" s="5" t="s">
        <v>1187</v>
      </c>
      <c r="B162" s="5" t="s">
        <v>232</v>
      </c>
      <c r="C162" s="12">
        <v>45879</v>
      </c>
      <c r="D162" s="12">
        <v>45909</v>
      </c>
      <c r="E162" s="6">
        <v>27960</v>
      </c>
      <c r="F162" s="12">
        <v>45909</v>
      </c>
      <c r="G162">
        <f t="shared" si="6"/>
        <v>0</v>
      </c>
      <c r="H162">
        <f>IF(AND(G162=1,D162&lt;Synthese!$B$3),1,0)</f>
        <v>0</v>
      </c>
      <c r="I162">
        <f t="shared" si="7"/>
        <v>0</v>
      </c>
      <c r="J162">
        <f t="shared" si="8"/>
        <v>0</v>
      </c>
    </row>
    <row r="163" spans="1:10" x14ac:dyDescent="0.25">
      <c r="A163" s="5" t="s">
        <v>1188</v>
      </c>
      <c r="B163" s="5" t="s">
        <v>234</v>
      </c>
      <c r="C163" s="12">
        <v>45922</v>
      </c>
      <c r="D163" s="12">
        <v>45982</v>
      </c>
      <c r="E163" s="6">
        <v>26025</v>
      </c>
      <c r="F163" s="12">
        <v>45982</v>
      </c>
      <c r="G163">
        <f t="shared" si="6"/>
        <v>0</v>
      </c>
      <c r="H163">
        <f>IF(AND(G163=1,D163&lt;Synthese!$B$3),1,0)</f>
        <v>0</v>
      </c>
      <c r="I163">
        <f t="shared" si="7"/>
        <v>0</v>
      </c>
      <c r="J163">
        <f t="shared" si="8"/>
        <v>0</v>
      </c>
    </row>
    <row r="164" spans="1:10" x14ac:dyDescent="0.25">
      <c r="A164" s="5" t="s">
        <v>1189</v>
      </c>
      <c r="B164" s="5" t="s">
        <v>234</v>
      </c>
      <c r="C164" s="12">
        <v>45943</v>
      </c>
      <c r="D164" s="12">
        <v>46003</v>
      </c>
      <c r="E164" s="6">
        <v>36435</v>
      </c>
      <c r="F164" s="12">
        <v>46035</v>
      </c>
      <c r="G164">
        <f t="shared" si="6"/>
        <v>0</v>
      </c>
      <c r="H164">
        <f>IF(AND(G164=1,D164&lt;Synthese!$B$3),1,0)</f>
        <v>0</v>
      </c>
      <c r="I164">
        <f t="shared" si="7"/>
        <v>0</v>
      </c>
      <c r="J164">
        <f t="shared" si="8"/>
        <v>0</v>
      </c>
    </row>
    <row r="165" spans="1:10" x14ac:dyDescent="0.25">
      <c r="A165" s="5" t="s">
        <v>1190</v>
      </c>
      <c r="B165" s="5" t="s">
        <v>234</v>
      </c>
      <c r="C165" s="12">
        <v>45970</v>
      </c>
      <c r="D165" s="12">
        <v>46030</v>
      </c>
      <c r="E165" s="6">
        <v>41640</v>
      </c>
      <c r="F165" s="12"/>
      <c r="G165">
        <f t="shared" si="6"/>
        <v>1</v>
      </c>
      <c r="H165">
        <f>IF(AND(G165=1,D165&lt;Synthese!$B$3),1,0)</f>
        <v>1</v>
      </c>
      <c r="I165">
        <f t="shared" si="7"/>
        <v>41640</v>
      </c>
      <c r="J165">
        <f t="shared" si="8"/>
        <v>41640</v>
      </c>
    </row>
    <row r="166" spans="1:10" x14ac:dyDescent="0.25">
      <c r="A166" s="5" t="s">
        <v>1191</v>
      </c>
      <c r="B166" s="5" t="s">
        <v>237</v>
      </c>
      <c r="C166" s="12">
        <v>45991</v>
      </c>
      <c r="D166" s="12">
        <v>46051</v>
      </c>
      <c r="E166" s="6">
        <v>41430</v>
      </c>
      <c r="F166" s="12">
        <v>46054</v>
      </c>
      <c r="G166">
        <f t="shared" si="6"/>
        <v>0</v>
      </c>
      <c r="H166">
        <f>IF(AND(G166=1,D166&lt;Synthese!$B$3),1,0)</f>
        <v>0</v>
      </c>
      <c r="I166">
        <f t="shared" si="7"/>
        <v>0</v>
      </c>
      <c r="J166">
        <f t="shared" si="8"/>
        <v>0</v>
      </c>
    </row>
    <row r="167" spans="1:10" x14ac:dyDescent="0.25">
      <c r="A167" s="5" t="s">
        <v>1192</v>
      </c>
      <c r="B167" s="5" t="s">
        <v>237</v>
      </c>
      <c r="C167" s="12">
        <v>46022</v>
      </c>
      <c r="D167" s="12">
        <v>46082</v>
      </c>
      <c r="E167" s="6">
        <v>82860</v>
      </c>
      <c r="F167" s="12"/>
      <c r="G167">
        <f t="shared" si="6"/>
        <v>1</v>
      </c>
      <c r="H167">
        <f>IF(AND(G167=1,D167&lt;Synthese!$B$3),1,0)</f>
        <v>1</v>
      </c>
      <c r="I167">
        <f t="shared" si="7"/>
        <v>82860</v>
      </c>
      <c r="J167">
        <f t="shared" si="8"/>
        <v>82860</v>
      </c>
    </row>
    <row r="168" spans="1:10" x14ac:dyDescent="0.25">
      <c r="A168" s="5" t="s">
        <v>1193</v>
      </c>
      <c r="B168" s="5" t="s">
        <v>237</v>
      </c>
      <c r="C168" s="12">
        <v>46022</v>
      </c>
      <c r="D168" s="12">
        <v>46082</v>
      </c>
      <c r="E168" s="6">
        <v>82860</v>
      </c>
      <c r="F168" s="12">
        <v>46085</v>
      </c>
      <c r="G168">
        <f t="shared" si="6"/>
        <v>0</v>
      </c>
      <c r="H168">
        <f>IF(AND(G168=1,D168&lt;Synthese!$B$3),1,0)</f>
        <v>0</v>
      </c>
      <c r="I168">
        <f t="shared" si="7"/>
        <v>0</v>
      </c>
      <c r="J168">
        <f t="shared" si="8"/>
        <v>0</v>
      </c>
    </row>
    <row r="169" spans="1:10" x14ac:dyDescent="0.25">
      <c r="A169" s="5" t="s">
        <v>1194</v>
      </c>
      <c r="B169" s="5" t="s">
        <v>237</v>
      </c>
      <c r="C169" s="12">
        <v>46022</v>
      </c>
      <c r="D169" s="12">
        <v>46067</v>
      </c>
      <c r="E169" s="6">
        <v>69050</v>
      </c>
      <c r="F169" s="12">
        <v>46087</v>
      </c>
      <c r="G169">
        <f t="shared" si="6"/>
        <v>0</v>
      </c>
      <c r="H169">
        <f>IF(AND(G169=1,D169&lt;Synthese!$B$3),1,0)</f>
        <v>0</v>
      </c>
      <c r="I169">
        <f t="shared" si="7"/>
        <v>0</v>
      </c>
      <c r="J169">
        <f t="shared" si="8"/>
        <v>0</v>
      </c>
    </row>
    <row r="170" spans="1:10" x14ac:dyDescent="0.25">
      <c r="A170" s="5" t="s">
        <v>1195</v>
      </c>
      <c r="B170" s="5" t="s">
        <v>240</v>
      </c>
      <c r="C170" s="12">
        <v>45903</v>
      </c>
      <c r="D170" s="12">
        <v>45948</v>
      </c>
      <c r="E170" s="6">
        <v>28545</v>
      </c>
      <c r="F170" s="12">
        <v>45952</v>
      </c>
      <c r="G170">
        <f t="shared" si="6"/>
        <v>0</v>
      </c>
      <c r="H170">
        <f>IF(AND(G170=1,D170&lt;Synthese!$B$3),1,0)</f>
        <v>0</v>
      </c>
      <c r="I170">
        <f t="shared" si="7"/>
        <v>0</v>
      </c>
      <c r="J170">
        <f t="shared" si="8"/>
        <v>0</v>
      </c>
    </row>
    <row r="171" spans="1:10" x14ac:dyDescent="0.25">
      <c r="A171" s="5" t="s">
        <v>1196</v>
      </c>
      <c r="B171" s="5" t="s">
        <v>240</v>
      </c>
      <c r="C171" s="12">
        <v>45948</v>
      </c>
      <c r="D171" s="12">
        <v>45993</v>
      </c>
      <c r="E171" s="6">
        <v>57090</v>
      </c>
      <c r="F171" s="12">
        <v>45996</v>
      </c>
      <c r="G171">
        <f t="shared" si="6"/>
        <v>0</v>
      </c>
      <c r="H171">
        <f>IF(AND(G171=1,D171&lt;Synthese!$B$3),1,0)</f>
        <v>0</v>
      </c>
      <c r="I171">
        <f t="shared" si="7"/>
        <v>0</v>
      </c>
      <c r="J171">
        <f t="shared" si="8"/>
        <v>0</v>
      </c>
    </row>
    <row r="172" spans="1:10" x14ac:dyDescent="0.25">
      <c r="A172" s="5" t="s">
        <v>1197</v>
      </c>
      <c r="B172" s="5" t="s">
        <v>240</v>
      </c>
      <c r="C172" s="12">
        <v>45990</v>
      </c>
      <c r="D172" s="12">
        <v>46050</v>
      </c>
      <c r="E172" s="6">
        <v>57090</v>
      </c>
      <c r="F172" s="12">
        <v>46053</v>
      </c>
      <c r="G172">
        <f t="shared" si="6"/>
        <v>0</v>
      </c>
      <c r="H172">
        <f>IF(AND(G172=1,D172&lt;Synthese!$B$3),1,0)</f>
        <v>0</v>
      </c>
      <c r="I172">
        <f t="shared" si="7"/>
        <v>0</v>
      </c>
      <c r="J172">
        <f t="shared" si="8"/>
        <v>0</v>
      </c>
    </row>
    <row r="173" spans="1:10" x14ac:dyDescent="0.25">
      <c r="A173" s="5" t="s">
        <v>1198</v>
      </c>
      <c r="B173" s="5" t="s">
        <v>240</v>
      </c>
      <c r="C173" s="12">
        <v>46022</v>
      </c>
      <c r="D173" s="12">
        <v>46067</v>
      </c>
      <c r="E173" s="6">
        <v>47575</v>
      </c>
      <c r="F173" s="12">
        <v>46067</v>
      </c>
      <c r="G173">
        <f t="shared" si="6"/>
        <v>0</v>
      </c>
      <c r="H173">
        <f>IF(AND(G173=1,D173&lt;Synthese!$B$3),1,0)</f>
        <v>0</v>
      </c>
      <c r="I173">
        <f t="shared" si="7"/>
        <v>0</v>
      </c>
      <c r="J173">
        <f t="shared" si="8"/>
        <v>0</v>
      </c>
    </row>
    <row r="174" spans="1:10" x14ac:dyDescent="0.25">
      <c r="A174" s="5" t="s">
        <v>1199</v>
      </c>
      <c r="B174" s="5" t="s">
        <v>243</v>
      </c>
      <c r="C174" s="12">
        <v>45910</v>
      </c>
      <c r="D174" s="12">
        <v>45955</v>
      </c>
      <c r="E174" s="6">
        <v>30765</v>
      </c>
      <c r="F174" s="12">
        <v>45959</v>
      </c>
      <c r="G174">
        <f t="shared" si="6"/>
        <v>0</v>
      </c>
      <c r="H174">
        <f>IF(AND(G174=1,D174&lt;Synthese!$B$3),1,0)</f>
        <v>0</v>
      </c>
      <c r="I174">
        <f t="shared" si="7"/>
        <v>0</v>
      </c>
      <c r="J174">
        <f t="shared" si="8"/>
        <v>0</v>
      </c>
    </row>
    <row r="175" spans="1:10" x14ac:dyDescent="0.25">
      <c r="A175" s="5" t="s">
        <v>1200</v>
      </c>
      <c r="B175" s="5" t="s">
        <v>243</v>
      </c>
      <c r="C175" s="12">
        <v>45951</v>
      </c>
      <c r="D175" s="12">
        <v>45996</v>
      </c>
      <c r="E175" s="6">
        <v>61530</v>
      </c>
      <c r="F175" s="12">
        <v>46001</v>
      </c>
      <c r="G175">
        <f t="shared" si="6"/>
        <v>0</v>
      </c>
      <c r="H175">
        <f>IF(AND(G175=1,D175&lt;Synthese!$B$3),1,0)</f>
        <v>0</v>
      </c>
      <c r="I175">
        <f t="shared" si="7"/>
        <v>0</v>
      </c>
      <c r="J175">
        <f t="shared" si="8"/>
        <v>0</v>
      </c>
    </row>
    <row r="176" spans="1:10" x14ac:dyDescent="0.25">
      <c r="A176" s="5" t="s">
        <v>1201</v>
      </c>
      <c r="B176" s="5" t="s">
        <v>243</v>
      </c>
      <c r="C176" s="12">
        <v>45985</v>
      </c>
      <c r="D176" s="12">
        <v>46015</v>
      </c>
      <c r="E176" s="6">
        <v>61530</v>
      </c>
      <c r="F176" s="12">
        <v>46019</v>
      </c>
      <c r="G176">
        <f t="shared" si="6"/>
        <v>0</v>
      </c>
      <c r="H176">
        <f>IF(AND(G176=1,D176&lt;Synthese!$B$3),1,0)</f>
        <v>0</v>
      </c>
      <c r="I176">
        <f t="shared" si="7"/>
        <v>0</v>
      </c>
      <c r="J176">
        <f t="shared" si="8"/>
        <v>0</v>
      </c>
    </row>
    <row r="177" spans="1:10" x14ac:dyDescent="0.25">
      <c r="A177" s="5" t="s">
        <v>1202</v>
      </c>
      <c r="B177" s="5" t="s">
        <v>243</v>
      </c>
      <c r="C177" s="12">
        <v>46003</v>
      </c>
      <c r="D177" s="12">
        <v>46048</v>
      </c>
      <c r="E177" s="6">
        <v>51275</v>
      </c>
      <c r="F177" s="12">
        <v>46046</v>
      </c>
      <c r="G177">
        <f t="shared" si="6"/>
        <v>0</v>
      </c>
      <c r="H177">
        <f>IF(AND(G177=1,D177&lt;Synthese!$B$3),1,0)</f>
        <v>0</v>
      </c>
      <c r="I177">
        <f t="shared" si="7"/>
        <v>0</v>
      </c>
      <c r="J177">
        <f t="shared" si="8"/>
        <v>0</v>
      </c>
    </row>
    <row r="178" spans="1:10" x14ac:dyDescent="0.25">
      <c r="A178" s="5" t="s">
        <v>1203</v>
      </c>
      <c r="B178" s="5" t="s">
        <v>248</v>
      </c>
      <c r="C178" s="12">
        <v>45785</v>
      </c>
      <c r="D178" s="12">
        <v>45830</v>
      </c>
      <c r="E178" s="6">
        <v>40335</v>
      </c>
      <c r="F178" s="12">
        <v>45834</v>
      </c>
      <c r="G178">
        <f t="shared" si="6"/>
        <v>0</v>
      </c>
      <c r="H178">
        <f>IF(AND(G178=1,D178&lt;Synthese!$B$3),1,0)</f>
        <v>0</v>
      </c>
      <c r="I178">
        <f t="shared" si="7"/>
        <v>0</v>
      </c>
      <c r="J178">
        <f t="shared" si="8"/>
        <v>0</v>
      </c>
    </row>
    <row r="179" spans="1:10" x14ac:dyDescent="0.25">
      <c r="A179" s="5" t="s">
        <v>1204</v>
      </c>
      <c r="B179" s="5" t="s">
        <v>248</v>
      </c>
      <c r="C179" s="12">
        <v>45842</v>
      </c>
      <c r="D179" s="12">
        <v>45887</v>
      </c>
      <c r="E179" s="6">
        <v>80670</v>
      </c>
      <c r="F179" s="12">
        <v>45888</v>
      </c>
      <c r="G179">
        <f t="shared" si="6"/>
        <v>0</v>
      </c>
      <c r="H179">
        <f>IF(AND(G179=1,D179&lt;Synthese!$B$3),1,0)</f>
        <v>0</v>
      </c>
      <c r="I179">
        <f t="shared" si="7"/>
        <v>0</v>
      </c>
      <c r="J179">
        <f t="shared" si="8"/>
        <v>0</v>
      </c>
    </row>
    <row r="180" spans="1:10" x14ac:dyDescent="0.25">
      <c r="A180" s="5" t="s">
        <v>1205</v>
      </c>
      <c r="B180" s="5" t="s">
        <v>248</v>
      </c>
      <c r="C180" s="12">
        <v>45908</v>
      </c>
      <c r="D180" s="12">
        <v>45953</v>
      </c>
      <c r="E180" s="6">
        <v>80670</v>
      </c>
      <c r="F180" s="12">
        <v>45954</v>
      </c>
      <c r="G180">
        <f t="shared" si="6"/>
        <v>0</v>
      </c>
      <c r="H180">
        <f>IF(AND(G180=1,D180&lt;Synthese!$B$3),1,0)</f>
        <v>0</v>
      </c>
      <c r="I180">
        <f t="shared" si="7"/>
        <v>0</v>
      </c>
      <c r="J180">
        <f t="shared" si="8"/>
        <v>0</v>
      </c>
    </row>
    <row r="181" spans="1:10" x14ac:dyDescent="0.25">
      <c r="A181" s="5" t="s">
        <v>1206</v>
      </c>
      <c r="B181" s="5" t="s">
        <v>248</v>
      </c>
      <c r="C181" s="12">
        <v>45964</v>
      </c>
      <c r="D181" s="12">
        <v>46009</v>
      </c>
      <c r="E181" s="6">
        <v>67225</v>
      </c>
      <c r="F181" s="12">
        <v>46009</v>
      </c>
      <c r="G181">
        <f t="shared" si="6"/>
        <v>0</v>
      </c>
      <c r="H181">
        <f>IF(AND(G181=1,D181&lt;Synthese!$B$3),1,0)</f>
        <v>0</v>
      </c>
      <c r="I181">
        <f t="shared" si="7"/>
        <v>0</v>
      </c>
      <c r="J181">
        <f t="shared" si="8"/>
        <v>0</v>
      </c>
    </row>
    <row r="182" spans="1:10" x14ac:dyDescent="0.25">
      <c r="A182" s="5" t="s">
        <v>1207</v>
      </c>
      <c r="B182" s="5" t="s">
        <v>251</v>
      </c>
      <c r="C182" s="12">
        <v>45951</v>
      </c>
      <c r="D182" s="12">
        <v>45981</v>
      </c>
      <c r="E182" s="6">
        <v>34975</v>
      </c>
      <c r="F182" s="12">
        <v>45983</v>
      </c>
      <c r="G182">
        <f t="shared" si="6"/>
        <v>0</v>
      </c>
      <c r="H182">
        <f>IF(AND(G182=1,D182&lt;Synthese!$B$3),1,0)</f>
        <v>0</v>
      </c>
      <c r="I182">
        <f t="shared" si="7"/>
        <v>0</v>
      </c>
      <c r="J182">
        <f t="shared" si="8"/>
        <v>0</v>
      </c>
    </row>
    <row r="183" spans="1:10" x14ac:dyDescent="0.25">
      <c r="A183" s="5" t="s">
        <v>1208</v>
      </c>
      <c r="B183" s="5" t="s">
        <v>251</v>
      </c>
      <c r="C183" s="12">
        <v>45984</v>
      </c>
      <c r="D183" s="12">
        <v>46014</v>
      </c>
      <c r="E183" s="6">
        <v>48965</v>
      </c>
      <c r="F183" s="12">
        <v>46015</v>
      </c>
      <c r="G183">
        <f t="shared" si="6"/>
        <v>0</v>
      </c>
      <c r="H183">
        <f>IF(AND(G183=1,D183&lt;Synthese!$B$3),1,0)</f>
        <v>0</v>
      </c>
      <c r="I183">
        <f t="shared" si="7"/>
        <v>0</v>
      </c>
      <c r="J183">
        <f t="shared" si="8"/>
        <v>0</v>
      </c>
    </row>
    <row r="184" spans="1:10" x14ac:dyDescent="0.25">
      <c r="A184" s="5" t="s">
        <v>1209</v>
      </c>
      <c r="B184" s="5" t="s">
        <v>251</v>
      </c>
      <c r="C184" s="12">
        <v>46003</v>
      </c>
      <c r="D184" s="12">
        <v>46048</v>
      </c>
      <c r="E184" s="6">
        <v>55960</v>
      </c>
      <c r="F184" s="12">
        <v>46076</v>
      </c>
      <c r="G184">
        <f t="shared" si="6"/>
        <v>0</v>
      </c>
      <c r="H184">
        <f>IF(AND(G184=1,D184&lt;Synthese!$B$3),1,0)</f>
        <v>0</v>
      </c>
      <c r="I184">
        <f t="shared" si="7"/>
        <v>0</v>
      </c>
      <c r="J184">
        <f t="shared" si="8"/>
        <v>0</v>
      </c>
    </row>
    <row r="185" spans="1:10" x14ac:dyDescent="0.25">
      <c r="A185" s="5" t="s">
        <v>1210</v>
      </c>
      <c r="B185" s="5" t="s">
        <v>253</v>
      </c>
      <c r="C185" s="12">
        <v>45817</v>
      </c>
      <c r="D185" s="12">
        <v>45862</v>
      </c>
      <c r="E185" s="6">
        <v>44235</v>
      </c>
      <c r="F185" s="12">
        <v>45865</v>
      </c>
      <c r="G185">
        <f t="shared" si="6"/>
        <v>0</v>
      </c>
      <c r="H185">
        <f>IF(AND(G185=1,D185&lt;Synthese!$B$3),1,0)</f>
        <v>0</v>
      </c>
      <c r="I185">
        <f t="shared" si="7"/>
        <v>0</v>
      </c>
      <c r="J185">
        <f t="shared" si="8"/>
        <v>0</v>
      </c>
    </row>
    <row r="186" spans="1:10" x14ac:dyDescent="0.25">
      <c r="A186" s="5" t="s">
        <v>1211</v>
      </c>
      <c r="B186" s="5" t="s">
        <v>253</v>
      </c>
      <c r="C186" s="12">
        <v>45861</v>
      </c>
      <c r="D186" s="12">
        <v>45906</v>
      </c>
      <c r="E186" s="6">
        <v>88470</v>
      </c>
      <c r="F186" s="12">
        <v>45906</v>
      </c>
      <c r="G186">
        <f t="shared" si="6"/>
        <v>0</v>
      </c>
      <c r="H186">
        <f>IF(AND(G186=1,D186&lt;Synthese!$B$3),1,0)</f>
        <v>0</v>
      </c>
      <c r="I186">
        <f t="shared" si="7"/>
        <v>0</v>
      </c>
      <c r="J186">
        <f t="shared" si="8"/>
        <v>0</v>
      </c>
    </row>
    <row r="187" spans="1:10" x14ac:dyDescent="0.25">
      <c r="A187" s="5" t="s">
        <v>1212</v>
      </c>
      <c r="B187" s="5" t="s">
        <v>253</v>
      </c>
      <c r="C187" s="12">
        <v>45916</v>
      </c>
      <c r="D187" s="12">
        <v>45961</v>
      </c>
      <c r="E187" s="6">
        <v>88470</v>
      </c>
      <c r="F187" s="12">
        <v>45963</v>
      </c>
      <c r="G187">
        <f t="shared" si="6"/>
        <v>0</v>
      </c>
      <c r="H187">
        <f>IF(AND(G187=1,D187&lt;Synthese!$B$3),1,0)</f>
        <v>0</v>
      </c>
      <c r="I187">
        <f t="shared" si="7"/>
        <v>0</v>
      </c>
      <c r="J187">
        <f t="shared" si="8"/>
        <v>0</v>
      </c>
    </row>
    <row r="188" spans="1:10" x14ac:dyDescent="0.25">
      <c r="A188" s="5" t="s">
        <v>1213</v>
      </c>
      <c r="B188" s="5" t="s">
        <v>253</v>
      </c>
      <c r="C188" s="12">
        <v>45956</v>
      </c>
      <c r="D188" s="12">
        <v>46016</v>
      </c>
      <c r="E188" s="6">
        <v>73725</v>
      </c>
      <c r="F188" s="12"/>
      <c r="G188">
        <f t="shared" si="6"/>
        <v>1</v>
      </c>
      <c r="H188">
        <f>IF(AND(G188=1,D188&lt;Synthese!$B$3),1,0)</f>
        <v>1</v>
      </c>
      <c r="I188">
        <f t="shared" si="7"/>
        <v>73725</v>
      </c>
      <c r="J188">
        <f t="shared" si="8"/>
        <v>73725</v>
      </c>
    </row>
    <row r="189" spans="1:10" x14ac:dyDescent="0.25">
      <c r="A189" s="5" t="s">
        <v>1214</v>
      </c>
      <c r="B189" s="5" t="s">
        <v>254</v>
      </c>
      <c r="C189" s="12">
        <v>45800</v>
      </c>
      <c r="D189" s="12">
        <v>45845</v>
      </c>
      <c r="E189" s="6">
        <v>35805</v>
      </c>
      <c r="F189" s="12">
        <v>45845</v>
      </c>
      <c r="G189">
        <f t="shared" si="6"/>
        <v>0</v>
      </c>
      <c r="H189">
        <f>IF(AND(G189=1,D189&lt;Synthese!$B$3),1,0)</f>
        <v>0</v>
      </c>
      <c r="I189">
        <f t="shared" si="7"/>
        <v>0</v>
      </c>
      <c r="J189">
        <f t="shared" si="8"/>
        <v>0</v>
      </c>
    </row>
    <row r="190" spans="1:10" x14ac:dyDescent="0.25">
      <c r="A190" s="5" t="s">
        <v>1215</v>
      </c>
      <c r="B190" s="5" t="s">
        <v>254</v>
      </c>
      <c r="C190" s="12">
        <v>45846</v>
      </c>
      <c r="D190" s="12">
        <v>45876</v>
      </c>
      <c r="E190" s="6">
        <v>71610</v>
      </c>
      <c r="F190" s="12">
        <v>45883</v>
      </c>
      <c r="G190">
        <f t="shared" si="6"/>
        <v>0</v>
      </c>
      <c r="H190">
        <f>IF(AND(G190=1,D190&lt;Synthese!$B$3),1,0)</f>
        <v>0</v>
      </c>
      <c r="I190">
        <f t="shared" si="7"/>
        <v>0</v>
      </c>
      <c r="J190">
        <f t="shared" si="8"/>
        <v>0</v>
      </c>
    </row>
    <row r="191" spans="1:10" x14ac:dyDescent="0.25">
      <c r="A191" s="5" t="s">
        <v>1216</v>
      </c>
      <c r="B191" s="5" t="s">
        <v>254</v>
      </c>
      <c r="C191" s="12">
        <v>45888</v>
      </c>
      <c r="D191" s="12">
        <v>45918</v>
      </c>
      <c r="E191" s="6">
        <v>71610</v>
      </c>
      <c r="F191" s="12">
        <v>45946</v>
      </c>
      <c r="G191">
        <f t="shared" si="6"/>
        <v>0</v>
      </c>
      <c r="H191">
        <f>IF(AND(G191=1,D191&lt;Synthese!$B$3),1,0)</f>
        <v>0</v>
      </c>
      <c r="I191">
        <f t="shared" si="7"/>
        <v>0</v>
      </c>
      <c r="J191">
        <f t="shared" si="8"/>
        <v>0</v>
      </c>
    </row>
    <row r="192" spans="1:10" x14ac:dyDescent="0.25">
      <c r="A192" s="5" t="s">
        <v>1217</v>
      </c>
      <c r="B192" s="5" t="s">
        <v>254</v>
      </c>
      <c r="C192" s="12">
        <v>45927</v>
      </c>
      <c r="D192" s="12">
        <v>45972</v>
      </c>
      <c r="E192" s="6">
        <v>59675</v>
      </c>
      <c r="F192" s="12">
        <v>45981</v>
      </c>
      <c r="G192">
        <f t="shared" si="6"/>
        <v>0</v>
      </c>
      <c r="H192">
        <f>IF(AND(G192=1,D192&lt;Synthese!$B$3),1,0)</f>
        <v>0</v>
      </c>
      <c r="I192">
        <f t="shared" si="7"/>
        <v>0</v>
      </c>
      <c r="J192">
        <f t="shared" si="8"/>
        <v>0</v>
      </c>
    </row>
    <row r="193" spans="1:10" x14ac:dyDescent="0.25">
      <c r="A193" s="5" t="s">
        <v>1218</v>
      </c>
      <c r="B193" s="5" t="s">
        <v>257</v>
      </c>
      <c r="C193" s="12">
        <v>45817</v>
      </c>
      <c r="D193" s="12">
        <v>45847</v>
      </c>
      <c r="E193" s="6">
        <v>15875</v>
      </c>
      <c r="F193" s="12">
        <v>45850</v>
      </c>
      <c r="G193">
        <f t="shared" si="6"/>
        <v>0</v>
      </c>
      <c r="H193">
        <f>IF(AND(G193=1,D193&lt;Synthese!$B$3),1,0)</f>
        <v>0</v>
      </c>
      <c r="I193">
        <f t="shared" si="7"/>
        <v>0</v>
      </c>
      <c r="J193">
        <f t="shared" si="8"/>
        <v>0</v>
      </c>
    </row>
    <row r="194" spans="1:10" x14ac:dyDescent="0.25">
      <c r="A194" s="5" t="s">
        <v>1219</v>
      </c>
      <c r="B194" s="5" t="s">
        <v>257</v>
      </c>
      <c r="C194" s="12">
        <v>45854</v>
      </c>
      <c r="D194" s="12">
        <v>45899</v>
      </c>
      <c r="E194" s="6">
        <v>22225</v>
      </c>
      <c r="F194" s="12">
        <v>45931</v>
      </c>
      <c r="G194">
        <f t="shared" ref="G194:G257" si="9">IF(F194="",1,0)</f>
        <v>0</v>
      </c>
      <c r="H194">
        <f>IF(AND(G194=1,D194&lt;Synthese!$B$3),1,0)</f>
        <v>0</v>
      </c>
      <c r="I194">
        <f t="shared" ref="I194:I257" si="10">IF(G194=1,E194,0)</f>
        <v>0</v>
      </c>
      <c r="J194">
        <f t="shared" ref="J194:J257" si="11">IF(H194=1,E194,0)</f>
        <v>0</v>
      </c>
    </row>
    <row r="195" spans="1:10" x14ac:dyDescent="0.25">
      <c r="A195" s="5" t="s">
        <v>1220</v>
      </c>
      <c r="B195" s="5" t="s">
        <v>257</v>
      </c>
      <c r="C195" s="12">
        <v>45900</v>
      </c>
      <c r="D195" s="12">
        <v>45945</v>
      </c>
      <c r="E195" s="6">
        <v>25400</v>
      </c>
      <c r="F195" s="12"/>
      <c r="G195">
        <f t="shared" si="9"/>
        <v>1</v>
      </c>
      <c r="H195">
        <f>IF(AND(G195=1,D195&lt;Synthese!$B$3),1,0)</f>
        <v>1</v>
      </c>
      <c r="I195">
        <f t="shared" si="10"/>
        <v>25400</v>
      </c>
      <c r="J195">
        <f t="shared" si="11"/>
        <v>25400</v>
      </c>
    </row>
    <row r="196" spans="1:10" x14ac:dyDescent="0.25">
      <c r="A196" s="5" t="s">
        <v>1221</v>
      </c>
      <c r="B196" s="5" t="s">
        <v>260</v>
      </c>
      <c r="C196" s="12">
        <v>45950</v>
      </c>
      <c r="D196" s="12">
        <v>46010</v>
      </c>
      <c r="E196" s="6">
        <v>48570</v>
      </c>
      <c r="F196" s="12">
        <v>46011</v>
      </c>
      <c r="G196">
        <f t="shared" si="9"/>
        <v>0</v>
      </c>
      <c r="H196">
        <f>IF(AND(G196=1,D196&lt;Synthese!$B$3),1,0)</f>
        <v>0</v>
      </c>
      <c r="I196">
        <f t="shared" si="10"/>
        <v>0</v>
      </c>
      <c r="J196">
        <f t="shared" si="11"/>
        <v>0</v>
      </c>
    </row>
    <row r="197" spans="1:10" x14ac:dyDescent="0.25">
      <c r="A197" s="5" t="s">
        <v>1222</v>
      </c>
      <c r="B197" s="5" t="s">
        <v>260</v>
      </c>
      <c r="C197" s="12">
        <v>45985</v>
      </c>
      <c r="D197" s="12">
        <v>46030</v>
      </c>
      <c r="E197" s="6">
        <v>97140</v>
      </c>
      <c r="F197" s="12">
        <v>46033</v>
      </c>
      <c r="G197">
        <f t="shared" si="9"/>
        <v>0</v>
      </c>
      <c r="H197">
        <f>IF(AND(G197=1,D197&lt;Synthese!$B$3),1,0)</f>
        <v>0</v>
      </c>
      <c r="I197">
        <f t="shared" si="10"/>
        <v>0</v>
      </c>
      <c r="J197">
        <f t="shared" si="11"/>
        <v>0</v>
      </c>
    </row>
    <row r="198" spans="1:10" x14ac:dyDescent="0.25">
      <c r="A198" s="5" t="s">
        <v>1223</v>
      </c>
      <c r="B198" s="5" t="s">
        <v>260</v>
      </c>
      <c r="C198" s="12">
        <v>46022</v>
      </c>
      <c r="D198" s="12">
        <v>46082</v>
      </c>
      <c r="E198" s="6">
        <v>97140</v>
      </c>
      <c r="F198" s="12">
        <v>46102</v>
      </c>
      <c r="G198">
        <f t="shared" si="9"/>
        <v>0</v>
      </c>
      <c r="H198">
        <f>IF(AND(G198=1,D198&lt;Synthese!$B$3),1,0)</f>
        <v>0</v>
      </c>
      <c r="I198">
        <f t="shared" si="10"/>
        <v>0</v>
      </c>
      <c r="J198">
        <f t="shared" si="11"/>
        <v>0</v>
      </c>
    </row>
    <row r="199" spans="1:10" x14ac:dyDescent="0.25">
      <c r="A199" s="5" t="s">
        <v>1224</v>
      </c>
      <c r="B199" s="5" t="s">
        <v>260</v>
      </c>
      <c r="C199" s="12">
        <v>46022</v>
      </c>
      <c r="D199" s="12">
        <v>46067</v>
      </c>
      <c r="E199" s="6">
        <v>80950</v>
      </c>
      <c r="F199" s="12">
        <v>46071</v>
      </c>
      <c r="G199">
        <f t="shared" si="9"/>
        <v>0</v>
      </c>
      <c r="H199">
        <f>IF(AND(G199=1,D199&lt;Synthese!$B$3),1,0)</f>
        <v>0</v>
      </c>
      <c r="I199">
        <f t="shared" si="10"/>
        <v>0</v>
      </c>
      <c r="J199">
        <f t="shared" si="11"/>
        <v>0</v>
      </c>
    </row>
    <row r="200" spans="1:10" x14ac:dyDescent="0.25">
      <c r="A200" s="5" t="s">
        <v>1225</v>
      </c>
      <c r="B200" s="5" t="s">
        <v>262</v>
      </c>
      <c r="C200" s="12">
        <v>45793</v>
      </c>
      <c r="D200" s="12">
        <v>45838</v>
      </c>
      <c r="E200" s="6">
        <v>42195</v>
      </c>
      <c r="F200" s="12">
        <v>45842</v>
      </c>
      <c r="G200">
        <f t="shared" si="9"/>
        <v>0</v>
      </c>
      <c r="H200">
        <f>IF(AND(G200=1,D200&lt;Synthese!$B$3),1,0)</f>
        <v>0</v>
      </c>
      <c r="I200">
        <f t="shared" si="10"/>
        <v>0</v>
      </c>
      <c r="J200">
        <f t="shared" si="11"/>
        <v>0</v>
      </c>
    </row>
    <row r="201" spans="1:10" x14ac:dyDescent="0.25">
      <c r="A201" s="5" t="s">
        <v>1226</v>
      </c>
      <c r="B201" s="5" t="s">
        <v>262</v>
      </c>
      <c r="C201" s="12">
        <v>45827</v>
      </c>
      <c r="D201" s="12">
        <v>45872</v>
      </c>
      <c r="E201" s="6">
        <v>84390</v>
      </c>
      <c r="F201" s="12">
        <v>45869</v>
      </c>
      <c r="G201">
        <f t="shared" si="9"/>
        <v>0</v>
      </c>
      <c r="H201">
        <f>IF(AND(G201=1,D201&lt;Synthese!$B$3),1,0)</f>
        <v>0</v>
      </c>
      <c r="I201">
        <f t="shared" si="10"/>
        <v>0</v>
      </c>
      <c r="J201">
        <f t="shared" si="11"/>
        <v>0</v>
      </c>
    </row>
    <row r="202" spans="1:10" x14ac:dyDescent="0.25">
      <c r="A202" s="5" t="s">
        <v>1227</v>
      </c>
      <c r="B202" s="5" t="s">
        <v>262</v>
      </c>
      <c r="C202" s="12">
        <v>45858</v>
      </c>
      <c r="D202" s="12">
        <v>45888</v>
      </c>
      <c r="E202" s="6">
        <v>84390</v>
      </c>
      <c r="F202" s="12">
        <v>45891</v>
      </c>
      <c r="G202">
        <f t="shared" si="9"/>
        <v>0</v>
      </c>
      <c r="H202">
        <f>IF(AND(G202=1,D202&lt;Synthese!$B$3),1,0)</f>
        <v>0</v>
      </c>
      <c r="I202">
        <f t="shared" si="10"/>
        <v>0</v>
      </c>
      <c r="J202">
        <f t="shared" si="11"/>
        <v>0</v>
      </c>
    </row>
    <row r="203" spans="1:10" x14ac:dyDescent="0.25">
      <c r="A203" s="5" t="s">
        <v>1228</v>
      </c>
      <c r="B203" s="5" t="s">
        <v>262</v>
      </c>
      <c r="C203" s="12">
        <v>45901</v>
      </c>
      <c r="D203" s="12">
        <v>45946</v>
      </c>
      <c r="E203" s="6">
        <v>70325</v>
      </c>
      <c r="F203" s="12">
        <v>45970</v>
      </c>
      <c r="G203">
        <f t="shared" si="9"/>
        <v>0</v>
      </c>
      <c r="H203">
        <f>IF(AND(G203=1,D203&lt;Synthese!$B$3),1,0)</f>
        <v>0</v>
      </c>
      <c r="I203">
        <f t="shared" si="10"/>
        <v>0</v>
      </c>
      <c r="J203">
        <f t="shared" si="11"/>
        <v>0</v>
      </c>
    </row>
    <row r="204" spans="1:10" x14ac:dyDescent="0.25">
      <c r="A204" s="5" t="s">
        <v>1229</v>
      </c>
      <c r="B204" s="5" t="s">
        <v>265</v>
      </c>
      <c r="C204" s="12">
        <v>45809</v>
      </c>
      <c r="D204" s="12">
        <v>45824</v>
      </c>
      <c r="E204" s="6">
        <v>20775</v>
      </c>
      <c r="F204" s="12">
        <v>45829</v>
      </c>
      <c r="G204">
        <f t="shared" si="9"/>
        <v>0</v>
      </c>
      <c r="H204">
        <f>IF(AND(G204=1,D204&lt;Synthese!$B$3),1,0)</f>
        <v>0</v>
      </c>
      <c r="I204">
        <f t="shared" si="10"/>
        <v>0</v>
      </c>
      <c r="J204">
        <f t="shared" si="11"/>
        <v>0</v>
      </c>
    </row>
    <row r="205" spans="1:10" x14ac:dyDescent="0.25">
      <c r="A205" s="5" t="s">
        <v>1230</v>
      </c>
      <c r="B205" s="5" t="s">
        <v>265</v>
      </c>
      <c r="C205" s="12">
        <v>45837</v>
      </c>
      <c r="D205" s="12">
        <v>45852</v>
      </c>
      <c r="E205" s="6">
        <v>29085</v>
      </c>
      <c r="F205" s="12">
        <v>45854</v>
      </c>
      <c r="G205">
        <f t="shared" si="9"/>
        <v>0</v>
      </c>
      <c r="H205">
        <f>IF(AND(G205=1,D205&lt;Synthese!$B$3),1,0)</f>
        <v>0</v>
      </c>
      <c r="I205">
        <f t="shared" si="10"/>
        <v>0</v>
      </c>
      <c r="J205">
        <f t="shared" si="11"/>
        <v>0</v>
      </c>
    </row>
    <row r="206" spans="1:10" x14ac:dyDescent="0.25">
      <c r="A206" s="5" t="s">
        <v>1231</v>
      </c>
      <c r="B206" s="5" t="s">
        <v>265</v>
      </c>
      <c r="C206" s="12">
        <v>45861</v>
      </c>
      <c r="D206" s="12">
        <v>45891</v>
      </c>
      <c r="E206" s="6">
        <v>33240</v>
      </c>
      <c r="F206" s="12">
        <v>45900</v>
      </c>
      <c r="G206">
        <f t="shared" si="9"/>
        <v>0</v>
      </c>
      <c r="H206">
        <f>IF(AND(G206=1,D206&lt;Synthese!$B$3),1,0)</f>
        <v>0</v>
      </c>
      <c r="I206">
        <f t="shared" si="10"/>
        <v>0</v>
      </c>
      <c r="J206">
        <f t="shared" si="11"/>
        <v>0</v>
      </c>
    </row>
    <row r="207" spans="1:10" x14ac:dyDescent="0.25">
      <c r="A207" s="5" t="s">
        <v>1232</v>
      </c>
      <c r="B207" s="5" t="s">
        <v>268</v>
      </c>
      <c r="C207" s="12">
        <v>46015</v>
      </c>
      <c r="D207" s="12">
        <v>46045</v>
      </c>
      <c r="E207" s="6">
        <v>26050</v>
      </c>
      <c r="F207" s="12">
        <v>46059</v>
      </c>
      <c r="G207">
        <f t="shared" si="9"/>
        <v>0</v>
      </c>
      <c r="H207">
        <f>IF(AND(G207=1,D207&lt;Synthese!$B$3),1,0)</f>
        <v>0</v>
      </c>
      <c r="I207">
        <f t="shared" si="10"/>
        <v>0</v>
      </c>
      <c r="J207">
        <f t="shared" si="11"/>
        <v>0</v>
      </c>
    </row>
    <row r="208" spans="1:10" x14ac:dyDescent="0.25">
      <c r="A208" s="5" t="s">
        <v>1233</v>
      </c>
      <c r="B208" s="5" t="s">
        <v>268</v>
      </c>
      <c r="C208" s="12">
        <v>46021</v>
      </c>
      <c r="D208" s="12">
        <v>46051</v>
      </c>
      <c r="E208" s="6">
        <v>36470</v>
      </c>
      <c r="F208" s="12">
        <v>46075</v>
      </c>
      <c r="G208">
        <f t="shared" si="9"/>
        <v>0</v>
      </c>
      <c r="H208">
        <f>IF(AND(G208=1,D208&lt;Synthese!$B$3),1,0)</f>
        <v>0</v>
      </c>
      <c r="I208">
        <f t="shared" si="10"/>
        <v>0</v>
      </c>
      <c r="J208">
        <f t="shared" si="11"/>
        <v>0</v>
      </c>
    </row>
    <row r="209" spans="1:10" x14ac:dyDescent="0.25">
      <c r="A209" s="5" t="s">
        <v>1234</v>
      </c>
      <c r="B209" s="5" t="s">
        <v>268</v>
      </c>
      <c r="C209" s="12">
        <v>46022</v>
      </c>
      <c r="D209" s="12">
        <v>46052</v>
      </c>
      <c r="E209" s="6">
        <v>41680</v>
      </c>
      <c r="F209" s="12">
        <v>46054</v>
      </c>
      <c r="G209">
        <f t="shared" si="9"/>
        <v>0</v>
      </c>
      <c r="H209">
        <f>IF(AND(G209=1,D209&lt;Synthese!$B$3),1,0)</f>
        <v>0</v>
      </c>
      <c r="I209">
        <f t="shared" si="10"/>
        <v>0</v>
      </c>
      <c r="J209">
        <f t="shared" si="11"/>
        <v>0</v>
      </c>
    </row>
    <row r="210" spans="1:10" x14ac:dyDescent="0.25">
      <c r="A210" s="5" t="s">
        <v>1235</v>
      </c>
      <c r="B210" s="5" t="s">
        <v>271</v>
      </c>
      <c r="C210" s="12">
        <v>45785</v>
      </c>
      <c r="D210" s="12">
        <v>45800</v>
      </c>
      <c r="E210" s="6">
        <v>16960</v>
      </c>
      <c r="F210" s="12">
        <v>45802</v>
      </c>
      <c r="G210">
        <f t="shared" si="9"/>
        <v>0</v>
      </c>
      <c r="H210">
        <f>IF(AND(G210=1,D210&lt;Synthese!$B$3),1,0)</f>
        <v>0</v>
      </c>
      <c r="I210">
        <f t="shared" si="10"/>
        <v>0</v>
      </c>
      <c r="J210">
        <f t="shared" si="11"/>
        <v>0</v>
      </c>
    </row>
    <row r="211" spans="1:10" x14ac:dyDescent="0.25">
      <c r="A211" s="5" t="s">
        <v>1236</v>
      </c>
      <c r="B211" s="5" t="s">
        <v>271</v>
      </c>
      <c r="C211" s="12">
        <v>45833</v>
      </c>
      <c r="D211" s="12">
        <v>45863</v>
      </c>
      <c r="E211" s="6">
        <v>25440</v>
      </c>
      <c r="F211" s="12"/>
      <c r="G211">
        <f t="shared" si="9"/>
        <v>1</v>
      </c>
      <c r="H211">
        <f>IF(AND(G211=1,D211&lt;Synthese!$B$3),1,0)</f>
        <v>1</v>
      </c>
      <c r="I211">
        <f t="shared" si="10"/>
        <v>25440</v>
      </c>
      <c r="J211">
        <f t="shared" si="11"/>
        <v>25440</v>
      </c>
    </row>
    <row r="212" spans="1:10" x14ac:dyDescent="0.25">
      <c r="A212" s="5" t="s">
        <v>1237</v>
      </c>
      <c r="B212" s="5" t="s">
        <v>274</v>
      </c>
      <c r="C212" s="12">
        <v>45855</v>
      </c>
      <c r="D212" s="12">
        <v>45900</v>
      </c>
      <c r="E212" s="6">
        <v>26145</v>
      </c>
      <c r="F212" s="12">
        <v>45902</v>
      </c>
      <c r="G212">
        <f t="shared" si="9"/>
        <v>0</v>
      </c>
      <c r="H212">
        <f>IF(AND(G212=1,D212&lt;Synthese!$B$3),1,0)</f>
        <v>0</v>
      </c>
      <c r="I212">
        <f t="shared" si="10"/>
        <v>0</v>
      </c>
      <c r="J212">
        <f t="shared" si="11"/>
        <v>0</v>
      </c>
    </row>
    <row r="213" spans="1:10" x14ac:dyDescent="0.25">
      <c r="A213" s="5" t="s">
        <v>1238</v>
      </c>
      <c r="B213" s="5" t="s">
        <v>274</v>
      </c>
      <c r="C213" s="12">
        <v>45905</v>
      </c>
      <c r="D213" s="12">
        <v>45950</v>
      </c>
      <c r="E213" s="6">
        <v>52290</v>
      </c>
      <c r="F213" s="12">
        <v>45952</v>
      </c>
      <c r="G213">
        <f t="shared" si="9"/>
        <v>0</v>
      </c>
      <c r="H213">
        <f>IF(AND(G213=1,D213&lt;Synthese!$B$3),1,0)</f>
        <v>0</v>
      </c>
      <c r="I213">
        <f t="shared" si="10"/>
        <v>0</v>
      </c>
      <c r="J213">
        <f t="shared" si="11"/>
        <v>0</v>
      </c>
    </row>
    <row r="214" spans="1:10" x14ac:dyDescent="0.25">
      <c r="A214" s="5" t="s">
        <v>1239</v>
      </c>
      <c r="B214" s="5" t="s">
        <v>274</v>
      </c>
      <c r="C214" s="12">
        <v>45939</v>
      </c>
      <c r="D214" s="12">
        <v>45984</v>
      </c>
      <c r="E214" s="6">
        <v>52290</v>
      </c>
      <c r="F214" s="12">
        <v>45987</v>
      </c>
      <c r="G214">
        <f t="shared" si="9"/>
        <v>0</v>
      </c>
      <c r="H214">
        <f>IF(AND(G214=1,D214&lt;Synthese!$B$3),1,0)</f>
        <v>0</v>
      </c>
      <c r="I214">
        <f t="shared" si="10"/>
        <v>0</v>
      </c>
      <c r="J214">
        <f t="shared" si="11"/>
        <v>0</v>
      </c>
    </row>
    <row r="215" spans="1:10" x14ac:dyDescent="0.25">
      <c r="A215" s="5" t="s">
        <v>1240</v>
      </c>
      <c r="B215" s="5" t="s">
        <v>274</v>
      </c>
      <c r="C215" s="12">
        <v>45983</v>
      </c>
      <c r="D215" s="12">
        <v>46028</v>
      </c>
      <c r="E215" s="6">
        <v>43575</v>
      </c>
      <c r="F215" s="12"/>
      <c r="G215">
        <f t="shared" si="9"/>
        <v>1</v>
      </c>
      <c r="H215">
        <f>IF(AND(G215=1,D215&lt;Synthese!$B$3),1,0)</f>
        <v>1</v>
      </c>
      <c r="I215">
        <f t="shared" si="10"/>
        <v>43575</v>
      </c>
      <c r="J215">
        <f t="shared" si="11"/>
        <v>43575</v>
      </c>
    </row>
    <row r="216" spans="1:10" x14ac:dyDescent="0.25">
      <c r="A216" s="5" t="s">
        <v>1241</v>
      </c>
      <c r="B216" s="5" t="s">
        <v>276</v>
      </c>
      <c r="C216" s="12">
        <v>45720</v>
      </c>
      <c r="D216" s="12">
        <v>45735</v>
      </c>
      <c r="E216" s="6">
        <v>19400</v>
      </c>
      <c r="F216" s="12">
        <v>45738</v>
      </c>
      <c r="G216">
        <f t="shared" si="9"/>
        <v>0</v>
      </c>
      <c r="H216">
        <f>IF(AND(G216=1,D216&lt;Synthese!$B$3),1,0)</f>
        <v>0</v>
      </c>
      <c r="I216">
        <f t="shared" si="10"/>
        <v>0</v>
      </c>
      <c r="J216">
        <f t="shared" si="11"/>
        <v>0</v>
      </c>
    </row>
    <row r="217" spans="1:10" x14ac:dyDescent="0.25">
      <c r="A217" s="5" t="s">
        <v>1242</v>
      </c>
      <c r="B217" s="5" t="s">
        <v>276</v>
      </c>
      <c r="C217" s="12">
        <v>45773</v>
      </c>
      <c r="D217" s="12">
        <v>45788</v>
      </c>
      <c r="E217" s="6">
        <v>29100</v>
      </c>
      <c r="F217" s="12">
        <v>45784</v>
      </c>
      <c r="G217">
        <f t="shared" si="9"/>
        <v>0</v>
      </c>
      <c r="H217">
        <f>IF(AND(G217=1,D217&lt;Synthese!$B$3),1,0)</f>
        <v>0</v>
      </c>
      <c r="I217">
        <f t="shared" si="10"/>
        <v>0</v>
      </c>
      <c r="J217">
        <f t="shared" si="11"/>
        <v>0</v>
      </c>
    </row>
    <row r="218" spans="1:10" x14ac:dyDescent="0.25">
      <c r="A218" s="5" t="s">
        <v>1243</v>
      </c>
      <c r="B218" s="5" t="s">
        <v>278</v>
      </c>
      <c r="C218" s="12">
        <v>45839</v>
      </c>
      <c r="D218" s="12">
        <v>45884</v>
      </c>
      <c r="E218" s="6">
        <v>29625</v>
      </c>
      <c r="F218" s="12">
        <v>45911</v>
      </c>
      <c r="G218">
        <f t="shared" si="9"/>
        <v>0</v>
      </c>
      <c r="H218">
        <f>IF(AND(G218=1,D218&lt;Synthese!$B$3),1,0)</f>
        <v>0</v>
      </c>
      <c r="I218">
        <f t="shared" si="10"/>
        <v>0</v>
      </c>
      <c r="J218">
        <f t="shared" si="11"/>
        <v>0</v>
      </c>
    </row>
    <row r="219" spans="1:10" x14ac:dyDescent="0.25">
      <c r="A219" s="5" t="s">
        <v>1244</v>
      </c>
      <c r="B219" s="5" t="s">
        <v>278</v>
      </c>
      <c r="C219" s="12">
        <v>45855</v>
      </c>
      <c r="D219" s="12">
        <v>45915</v>
      </c>
      <c r="E219" s="6">
        <v>59250</v>
      </c>
      <c r="F219" s="12">
        <v>45932</v>
      </c>
      <c r="G219">
        <f t="shared" si="9"/>
        <v>0</v>
      </c>
      <c r="H219">
        <f>IF(AND(G219=1,D219&lt;Synthese!$B$3),1,0)</f>
        <v>0</v>
      </c>
      <c r="I219">
        <f t="shared" si="10"/>
        <v>0</v>
      </c>
      <c r="J219">
        <f t="shared" si="11"/>
        <v>0</v>
      </c>
    </row>
    <row r="220" spans="1:10" x14ac:dyDescent="0.25">
      <c r="A220" s="5" t="s">
        <v>1245</v>
      </c>
      <c r="B220" s="5" t="s">
        <v>278</v>
      </c>
      <c r="C220" s="12">
        <v>45862</v>
      </c>
      <c r="D220" s="12">
        <v>45922</v>
      </c>
      <c r="E220" s="6">
        <v>59250</v>
      </c>
      <c r="F220" s="12">
        <v>45932</v>
      </c>
      <c r="G220">
        <f t="shared" si="9"/>
        <v>0</v>
      </c>
      <c r="H220">
        <f>IF(AND(G220=1,D220&lt;Synthese!$B$3),1,0)</f>
        <v>0</v>
      </c>
      <c r="I220">
        <f t="shared" si="10"/>
        <v>0</v>
      </c>
      <c r="J220">
        <f t="shared" si="11"/>
        <v>0</v>
      </c>
    </row>
    <row r="221" spans="1:10" x14ac:dyDescent="0.25">
      <c r="A221" s="5" t="s">
        <v>1246</v>
      </c>
      <c r="B221" s="5" t="s">
        <v>278</v>
      </c>
      <c r="C221" s="12">
        <v>45881</v>
      </c>
      <c r="D221" s="12">
        <v>45941</v>
      </c>
      <c r="E221" s="6">
        <v>49375</v>
      </c>
      <c r="F221" s="12">
        <v>45944</v>
      </c>
      <c r="G221">
        <f t="shared" si="9"/>
        <v>0</v>
      </c>
      <c r="H221">
        <f>IF(AND(G221=1,D221&lt;Synthese!$B$3),1,0)</f>
        <v>0</v>
      </c>
      <c r="I221">
        <f t="shared" si="10"/>
        <v>0</v>
      </c>
      <c r="J221">
        <f t="shared" si="11"/>
        <v>0</v>
      </c>
    </row>
    <row r="222" spans="1:10" x14ac:dyDescent="0.25">
      <c r="A222" s="5" t="s">
        <v>1247</v>
      </c>
      <c r="B222" s="5" t="s">
        <v>281</v>
      </c>
      <c r="C222" s="12">
        <v>45916</v>
      </c>
      <c r="D222" s="12">
        <v>45946</v>
      </c>
      <c r="E222" s="6">
        <v>21555</v>
      </c>
      <c r="F222" s="12">
        <v>45978</v>
      </c>
      <c r="G222">
        <f t="shared" si="9"/>
        <v>0</v>
      </c>
      <c r="H222">
        <f>IF(AND(G222=1,D222&lt;Synthese!$B$3),1,0)</f>
        <v>0</v>
      </c>
      <c r="I222">
        <f t="shared" si="10"/>
        <v>0</v>
      </c>
      <c r="J222">
        <f t="shared" si="11"/>
        <v>0</v>
      </c>
    </row>
    <row r="223" spans="1:10" x14ac:dyDescent="0.25">
      <c r="A223" s="5" t="s">
        <v>1248</v>
      </c>
      <c r="B223" s="5" t="s">
        <v>281</v>
      </c>
      <c r="C223" s="12">
        <v>45951</v>
      </c>
      <c r="D223" s="12">
        <v>45996</v>
      </c>
      <c r="E223" s="6">
        <v>43110</v>
      </c>
      <c r="F223" s="12">
        <v>45999</v>
      </c>
      <c r="G223">
        <f t="shared" si="9"/>
        <v>0</v>
      </c>
      <c r="H223">
        <f>IF(AND(G223=1,D223&lt;Synthese!$B$3),1,0)</f>
        <v>0</v>
      </c>
      <c r="I223">
        <f t="shared" si="10"/>
        <v>0</v>
      </c>
      <c r="J223">
        <f t="shared" si="11"/>
        <v>0</v>
      </c>
    </row>
    <row r="224" spans="1:10" x14ac:dyDescent="0.25">
      <c r="A224" s="5" t="s">
        <v>1249</v>
      </c>
      <c r="B224" s="5" t="s">
        <v>281</v>
      </c>
      <c r="C224" s="12">
        <v>45982</v>
      </c>
      <c r="D224" s="12">
        <v>46012</v>
      </c>
      <c r="E224" s="6">
        <v>43110</v>
      </c>
      <c r="F224" s="12">
        <v>46014</v>
      </c>
      <c r="G224">
        <f t="shared" si="9"/>
        <v>0</v>
      </c>
      <c r="H224">
        <f>IF(AND(G224=1,D224&lt;Synthese!$B$3),1,0)</f>
        <v>0</v>
      </c>
      <c r="I224">
        <f t="shared" si="10"/>
        <v>0</v>
      </c>
      <c r="J224">
        <f t="shared" si="11"/>
        <v>0</v>
      </c>
    </row>
    <row r="225" spans="1:10" x14ac:dyDescent="0.25">
      <c r="A225" s="5" t="s">
        <v>1250</v>
      </c>
      <c r="B225" s="5" t="s">
        <v>281</v>
      </c>
      <c r="C225" s="12">
        <v>45995</v>
      </c>
      <c r="D225" s="12">
        <v>46040</v>
      </c>
      <c r="E225" s="6">
        <v>35925</v>
      </c>
      <c r="F225" s="12">
        <v>46041</v>
      </c>
      <c r="G225">
        <f t="shared" si="9"/>
        <v>0</v>
      </c>
      <c r="H225">
        <f>IF(AND(G225=1,D225&lt;Synthese!$B$3),1,0)</f>
        <v>0</v>
      </c>
      <c r="I225">
        <f t="shared" si="10"/>
        <v>0</v>
      </c>
      <c r="J225">
        <f t="shared" si="11"/>
        <v>0</v>
      </c>
    </row>
    <row r="226" spans="1:10" x14ac:dyDescent="0.25">
      <c r="A226" s="5" t="s">
        <v>1251</v>
      </c>
      <c r="B226" s="5" t="s">
        <v>284</v>
      </c>
      <c r="C226" s="12">
        <v>45956</v>
      </c>
      <c r="D226" s="12">
        <v>46001</v>
      </c>
      <c r="E226" s="6">
        <v>24615</v>
      </c>
      <c r="F226" s="12">
        <v>46005</v>
      </c>
      <c r="G226">
        <f t="shared" si="9"/>
        <v>0</v>
      </c>
      <c r="H226">
        <f>IF(AND(G226=1,D226&lt;Synthese!$B$3),1,0)</f>
        <v>0</v>
      </c>
      <c r="I226">
        <f t="shared" si="10"/>
        <v>0</v>
      </c>
      <c r="J226">
        <f t="shared" si="11"/>
        <v>0</v>
      </c>
    </row>
    <row r="227" spans="1:10" x14ac:dyDescent="0.25">
      <c r="A227" s="5" t="s">
        <v>1252</v>
      </c>
      <c r="B227" s="5" t="s">
        <v>284</v>
      </c>
      <c r="C227" s="12">
        <v>45990</v>
      </c>
      <c r="D227" s="12">
        <v>46035</v>
      </c>
      <c r="E227" s="6">
        <v>49230</v>
      </c>
      <c r="F227" s="12">
        <v>46039</v>
      </c>
      <c r="G227">
        <f t="shared" si="9"/>
        <v>0</v>
      </c>
      <c r="H227">
        <f>IF(AND(G227=1,D227&lt;Synthese!$B$3),1,0)</f>
        <v>0</v>
      </c>
      <c r="I227">
        <f t="shared" si="10"/>
        <v>0</v>
      </c>
      <c r="J227">
        <f t="shared" si="11"/>
        <v>0</v>
      </c>
    </row>
    <row r="228" spans="1:10" x14ac:dyDescent="0.25">
      <c r="A228" s="5" t="s">
        <v>1253</v>
      </c>
      <c r="B228" s="5" t="s">
        <v>284</v>
      </c>
      <c r="C228" s="12">
        <v>46020</v>
      </c>
      <c r="D228" s="12">
        <v>46080</v>
      </c>
      <c r="E228" s="6">
        <v>49230</v>
      </c>
      <c r="F228" s="12">
        <v>46084</v>
      </c>
      <c r="G228">
        <f t="shared" si="9"/>
        <v>0</v>
      </c>
      <c r="H228">
        <f>IF(AND(G228=1,D228&lt;Synthese!$B$3),1,0)</f>
        <v>0</v>
      </c>
      <c r="I228">
        <f t="shared" si="10"/>
        <v>0</v>
      </c>
      <c r="J228">
        <f t="shared" si="11"/>
        <v>0</v>
      </c>
    </row>
    <row r="229" spans="1:10" x14ac:dyDescent="0.25">
      <c r="A229" s="5" t="s">
        <v>1254</v>
      </c>
      <c r="B229" s="5" t="s">
        <v>284</v>
      </c>
      <c r="C229" s="12">
        <v>46022</v>
      </c>
      <c r="D229" s="12">
        <v>46067</v>
      </c>
      <c r="E229" s="6">
        <v>41025</v>
      </c>
      <c r="F229" s="12">
        <v>46071</v>
      </c>
      <c r="G229">
        <f t="shared" si="9"/>
        <v>0</v>
      </c>
      <c r="H229">
        <f>IF(AND(G229=1,D229&lt;Synthese!$B$3),1,0)</f>
        <v>0</v>
      </c>
      <c r="I229">
        <f t="shared" si="10"/>
        <v>0</v>
      </c>
      <c r="J229">
        <f t="shared" si="11"/>
        <v>0</v>
      </c>
    </row>
    <row r="230" spans="1:10" x14ac:dyDescent="0.25">
      <c r="A230" s="5" t="s">
        <v>1255</v>
      </c>
      <c r="B230" s="5" t="s">
        <v>287</v>
      </c>
      <c r="C230" s="12">
        <v>45822</v>
      </c>
      <c r="D230" s="12">
        <v>45867</v>
      </c>
      <c r="E230" s="6">
        <v>22800</v>
      </c>
      <c r="F230" s="12">
        <v>45869</v>
      </c>
      <c r="G230">
        <f t="shared" si="9"/>
        <v>0</v>
      </c>
      <c r="H230">
        <f>IF(AND(G230=1,D230&lt;Synthese!$B$3),1,0)</f>
        <v>0</v>
      </c>
      <c r="I230">
        <f t="shared" si="10"/>
        <v>0</v>
      </c>
      <c r="J230">
        <f t="shared" si="11"/>
        <v>0</v>
      </c>
    </row>
    <row r="231" spans="1:10" x14ac:dyDescent="0.25">
      <c r="A231" s="5" t="s">
        <v>1256</v>
      </c>
      <c r="B231" s="5" t="s">
        <v>287</v>
      </c>
      <c r="C231" s="12">
        <v>45892</v>
      </c>
      <c r="D231" s="12">
        <v>45937</v>
      </c>
      <c r="E231" s="6">
        <v>34200</v>
      </c>
      <c r="F231" s="12">
        <v>45939</v>
      </c>
      <c r="G231">
        <f t="shared" si="9"/>
        <v>0</v>
      </c>
      <c r="H231">
        <f>IF(AND(G231=1,D231&lt;Synthese!$B$3),1,0)</f>
        <v>0</v>
      </c>
      <c r="I231">
        <f t="shared" si="10"/>
        <v>0</v>
      </c>
      <c r="J231">
        <f t="shared" si="11"/>
        <v>0</v>
      </c>
    </row>
    <row r="232" spans="1:10" x14ac:dyDescent="0.25">
      <c r="A232" s="5" t="s">
        <v>1257</v>
      </c>
      <c r="B232" s="5" t="s">
        <v>289</v>
      </c>
      <c r="C232" s="12">
        <v>45955</v>
      </c>
      <c r="D232" s="12">
        <v>45985</v>
      </c>
      <c r="E232" s="6">
        <v>17700</v>
      </c>
      <c r="F232" s="12">
        <v>45987</v>
      </c>
      <c r="G232">
        <f t="shared" si="9"/>
        <v>0</v>
      </c>
      <c r="H232">
        <f>IF(AND(G232=1,D232&lt;Synthese!$B$3),1,0)</f>
        <v>0</v>
      </c>
      <c r="I232">
        <f t="shared" si="10"/>
        <v>0</v>
      </c>
      <c r="J232">
        <f t="shared" si="11"/>
        <v>0</v>
      </c>
    </row>
    <row r="233" spans="1:10" x14ac:dyDescent="0.25">
      <c r="A233" s="5" t="s">
        <v>1258</v>
      </c>
      <c r="B233" s="5" t="s">
        <v>289</v>
      </c>
      <c r="C233" s="12">
        <v>45976</v>
      </c>
      <c r="D233" s="12">
        <v>46006</v>
      </c>
      <c r="E233" s="6">
        <v>24780</v>
      </c>
      <c r="F233" s="12">
        <v>46007</v>
      </c>
      <c r="G233">
        <f t="shared" si="9"/>
        <v>0</v>
      </c>
      <c r="H233">
        <f>IF(AND(G233=1,D233&lt;Synthese!$B$3),1,0)</f>
        <v>0</v>
      </c>
      <c r="I233">
        <f t="shared" si="10"/>
        <v>0</v>
      </c>
      <c r="J233">
        <f t="shared" si="11"/>
        <v>0</v>
      </c>
    </row>
    <row r="234" spans="1:10" x14ac:dyDescent="0.25">
      <c r="A234" s="5" t="s">
        <v>1259</v>
      </c>
      <c r="B234" s="5" t="s">
        <v>289</v>
      </c>
      <c r="C234" s="12">
        <v>45999</v>
      </c>
      <c r="D234" s="12">
        <v>46029</v>
      </c>
      <c r="E234" s="6">
        <v>28320</v>
      </c>
      <c r="F234" s="12">
        <v>46032</v>
      </c>
      <c r="G234">
        <f t="shared" si="9"/>
        <v>0</v>
      </c>
      <c r="H234">
        <f>IF(AND(G234=1,D234&lt;Synthese!$B$3),1,0)</f>
        <v>0</v>
      </c>
      <c r="I234">
        <f t="shared" si="10"/>
        <v>0</v>
      </c>
      <c r="J234">
        <f t="shared" si="11"/>
        <v>0</v>
      </c>
    </row>
    <row r="235" spans="1:10" x14ac:dyDescent="0.25">
      <c r="A235" s="5" t="s">
        <v>1260</v>
      </c>
      <c r="B235" s="5" t="s">
        <v>291</v>
      </c>
      <c r="C235" s="12">
        <v>45723</v>
      </c>
      <c r="D235" s="12">
        <v>45768</v>
      </c>
      <c r="E235" s="6">
        <v>23985</v>
      </c>
      <c r="F235" s="12">
        <v>45768</v>
      </c>
      <c r="G235">
        <f t="shared" si="9"/>
        <v>0</v>
      </c>
      <c r="H235">
        <f>IF(AND(G235=1,D235&lt;Synthese!$B$3),1,0)</f>
        <v>0</v>
      </c>
      <c r="I235">
        <f t="shared" si="10"/>
        <v>0</v>
      </c>
      <c r="J235">
        <f t="shared" si="11"/>
        <v>0</v>
      </c>
    </row>
    <row r="236" spans="1:10" x14ac:dyDescent="0.25">
      <c r="A236" s="5" t="s">
        <v>1261</v>
      </c>
      <c r="B236" s="5" t="s">
        <v>291</v>
      </c>
      <c r="C236" s="12">
        <v>45786</v>
      </c>
      <c r="D236" s="12">
        <v>45831</v>
      </c>
      <c r="E236" s="6">
        <v>47970</v>
      </c>
      <c r="F236" s="12">
        <v>45834</v>
      </c>
      <c r="G236">
        <f t="shared" si="9"/>
        <v>0</v>
      </c>
      <c r="H236">
        <f>IF(AND(G236=1,D236&lt;Synthese!$B$3),1,0)</f>
        <v>0</v>
      </c>
      <c r="I236">
        <f t="shared" si="10"/>
        <v>0</v>
      </c>
      <c r="J236">
        <f t="shared" si="11"/>
        <v>0</v>
      </c>
    </row>
    <row r="237" spans="1:10" x14ac:dyDescent="0.25">
      <c r="A237" s="5" t="s">
        <v>1262</v>
      </c>
      <c r="B237" s="5" t="s">
        <v>291</v>
      </c>
      <c r="C237" s="12">
        <v>45835</v>
      </c>
      <c r="D237" s="12">
        <v>45865</v>
      </c>
      <c r="E237" s="6">
        <v>47970</v>
      </c>
      <c r="F237" s="12">
        <v>45866</v>
      </c>
      <c r="G237">
        <f t="shared" si="9"/>
        <v>0</v>
      </c>
      <c r="H237">
        <f>IF(AND(G237=1,D237&lt;Synthese!$B$3),1,0)</f>
        <v>0</v>
      </c>
      <c r="I237">
        <f t="shared" si="10"/>
        <v>0</v>
      </c>
      <c r="J237">
        <f t="shared" si="11"/>
        <v>0</v>
      </c>
    </row>
    <row r="238" spans="1:10" x14ac:dyDescent="0.25">
      <c r="A238" s="5" t="s">
        <v>1263</v>
      </c>
      <c r="B238" s="5" t="s">
        <v>291</v>
      </c>
      <c r="C238" s="12">
        <v>45901</v>
      </c>
      <c r="D238" s="12">
        <v>45946</v>
      </c>
      <c r="E238" s="6">
        <v>39975</v>
      </c>
      <c r="F238" s="12">
        <v>45949</v>
      </c>
      <c r="G238">
        <f t="shared" si="9"/>
        <v>0</v>
      </c>
      <c r="H238">
        <f>IF(AND(G238=1,D238&lt;Synthese!$B$3),1,0)</f>
        <v>0</v>
      </c>
      <c r="I238">
        <f t="shared" si="10"/>
        <v>0</v>
      </c>
      <c r="J238">
        <f t="shared" si="11"/>
        <v>0</v>
      </c>
    </row>
    <row r="239" spans="1:10" x14ac:dyDescent="0.25">
      <c r="A239" s="5" t="s">
        <v>1264</v>
      </c>
      <c r="B239" s="5" t="s">
        <v>294</v>
      </c>
      <c r="C239" s="12">
        <v>45870</v>
      </c>
      <c r="D239" s="12">
        <v>45915</v>
      </c>
      <c r="E239" s="6">
        <v>28095</v>
      </c>
      <c r="F239" s="12">
        <v>45960</v>
      </c>
      <c r="G239">
        <f t="shared" si="9"/>
        <v>0</v>
      </c>
      <c r="H239">
        <f>IF(AND(G239=1,D239&lt;Synthese!$B$3),1,0)</f>
        <v>0</v>
      </c>
      <c r="I239">
        <f t="shared" si="10"/>
        <v>0</v>
      </c>
      <c r="J239">
        <f t="shared" si="11"/>
        <v>0</v>
      </c>
    </row>
    <row r="240" spans="1:10" x14ac:dyDescent="0.25">
      <c r="A240" s="5" t="s">
        <v>1265</v>
      </c>
      <c r="B240" s="5" t="s">
        <v>294</v>
      </c>
      <c r="C240" s="12">
        <v>45923</v>
      </c>
      <c r="D240" s="12">
        <v>45968</v>
      </c>
      <c r="E240" s="6">
        <v>56190</v>
      </c>
      <c r="F240" s="12">
        <v>45991</v>
      </c>
      <c r="G240">
        <f t="shared" si="9"/>
        <v>0</v>
      </c>
      <c r="H240">
        <f>IF(AND(G240=1,D240&lt;Synthese!$B$3),1,0)</f>
        <v>0</v>
      </c>
      <c r="I240">
        <f t="shared" si="10"/>
        <v>0</v>
      </c>
      <c r="J240">
        <f t="shared" si="11"/>
        <v>0</v>
      </c>
    </row>
    <row r="241" spans="1:10" x14ac:dyDescent="0.25">
      <c r="A241" s="5" t="s">
        <v>1266</v>
      </c>
      <c r="B241" s="5" t="s">
        <v>294</v>
      </c>
      <c r="C241" s="12">
        <v>45958</v>
      </c>
      <c r="D241" s="12">
        <v>46003</v>
      </c>
      <c r="E241" s="6">
        <v>56190</v>
      </c>
      <c r="F241" s="12">
        <v>46015</v>
      </c>
      <c r="G241">
        <f t="shared" si="9"/>
        <v>0</v>
      </c>
      <c r="H241">
        <f>IF(AND(G241=1,D241&lt;Synthese!$B$3),1,0)</f>
        <v>0</v>
      </c>
      <c r="I241">
        <f t="shared" si="10"/>
        <v>0</v>
      </c>
      <c r="J241">
        <f t="shared" si="11"/>
        <v>0</v>
      </c>
    </row>
    <row r="242" spans="1:10" x14ac:dyDescent="0.25">
      <c r="A242" s="5" t="s">
        <v>1267</v>
      </c>
      <c r="B242" s="5" t="s">
        <v>294</v>
      </c>
      <c r="C242" s="12">
        <v>46002</v>
      </c>
      <c r="D242" s="12">
        <v>46062</v>
      </c>
      <c r="E242" s="6">
        <v>46825</v>
      </c>
      <c r="F242" s="12">
        <v>46072</v>
      </c>
      <c r="G242">
        <f t="shared" si="9"/>
        <v>0</v>
      </c>
      <c r="H242">
        <f>IF(AND(G242=1,D242&lt;Synthese!$B$3),1,0)</f>
        <v>0</v>
      </c>
      <c r="I242">
        <f t="shared" si="10"/>
        <v>0</v>
      </c>
      <c r="J242">
        <f t="shared" si="11"/>
        <v>0</v>
      </c>
    </row>
    <row r="243" spans="1:10" x14ac:dyDescent="0.25">
      <c r="A243" s="5" t="s">
        <v>1268</v>
      </c>
      <c r="B243" s="5" t="s">
        <v>296</v>
      </c>
      <c r="C243" s="12">
        <v>45670</v>
      </c>
      <c r="D243" s="12">
        <v>45715</v>
      </c>
      <c r="E243" s="6">
        <v>23650</v>
      </c>
      <c r="F243" s="12">
        <v>45712</v>
      </c>
      <c r="G243">
        <f t="shared" si="9"/>
        <v>0</v>
      </c>
      <c r="H243">
        <f>IF(AND(G243=1,D243&lt;Synthese!$B$3),1,0)</f>
        <v>0</v>
      </c>
      <c r="I243">
        <f t="shared" si="10"/>
        <v>0</v>
      </c>
      <c r="J243">
        <f t="shared" si="11"/>
        <v>0</v>
      </c>
    </row>
    <row r="244" spans="1:10" x14ac:dyDescent="0.25">
      <c r="A244" s="5" t="s">
        <v>1269</v>
      </c>
      <c r="B244" s="5" t="s">
        <v>296</v>
      </c>
      <c r="C244" s="12">
        <v>45721</v>
      </c>
      <c r="D244" s="12">
        <v>45751</v>
      </c>
      <c r="E244" s="6">
        <v>33110</v>
      </c>
      <c r="F244" s="12">
        <v>45768</v>
      </c>
      <c r="G244">
        <f t="shared" si="9"/>
        <v>0</v>
      </c>
      <c r="H244">
        <f>IF(AND(G244=1,D244&lt;Synthese!$B$3),1,0)</f>
        <v>0</v>
      </c>
      <c r="I244">
        <f t="shared" si="10"/>
        <v>0</v>
      </c>
      <c r="J244">
        <f t="shared" si="11"/>
        <v>0</v>
      </c>
    </row>
    <row r="245" spans="1:10" x14ac:dyDescent="0.25">
      <c r="A245" s="5" t="s">
        <v>1270</v>
      </c>
      <c r="B245" s="5" t="s">
        <v>296</v>
      </c>
      <c r="C245" s="12">
        <v>45767</v>
      </c>
      <c r="D245" s="12">
        <v>45812</v>
      </c>
      <c r="E245" s="6">
        <v>37840</v>
      </c>
      <c r="F245" s="12">
        <v>45812</v>
      </c>
      <c r="G245">
        <f t="shared" si="9"/>
        <v>0</v>
      </c>
      <c r="H245">
        <f>IF(AND(G245=1,D245&lt;Synthese!$B$3),1,0)</f>
        <v>0</v>
      </c>
      <c r="I245">
        <f t="shared" si="10"/>
        <v>0</v>
      </c>
      <c r="J245">
        <f t="shared" si="11"/>
        <v>0</v>
      </c>
    </row>
    <row r="246" spans="1:10" x14ac:dyDescent="0.25">
      <c r="A246" s="5" t="s">
        <v>1271</v>
      </c>
      <c r="B246" s="5" t="s">
        <v>299</v>
      </c>
      <c r="C246" s="12">
        <v>45854</v>
      </c>
      <c r="D246" s="12">
        <v>45884</v>
      </c>
      <c r="E246" s="6">
        <v>30090</v>
      </c>
      <c r="F246" s="12">
        <v>45915</v>
      </c>
      <c r="G246">
        <f t="shared" si="9"/>
        <v>0</v>
      </c>
      <c r="H246">
        <f>IF(AND(G246=1,D246&lt;Synthese!$B$3),1,0)</f>
        <v>0</v>
      </c>
      <c r="I246">
        <f t="shared" si="10"/>
        <v>0</v>
      </c>
      <c r="J246">
        <f t="shared" si="11"/>
        <v>0</v>
      </c>
    </row>
    <row r="247" spans="1:10" x14ac:dyDescent="0.25">
      <c r="A247" s="5" t="s">
        <v>1272</v>
      </c>
      <c r="B247" s="5" t="s">
        <v>299</v>
      </c>
      <c r="C247" s="12">
        <v>45910</v>
      </c>
      <c r="D247" s="12">
        <v>45955</v>
      </c>
      <c r="E247" s="6">
        <v>60180</v>
      </c>
      <c r="F247" s="12">
        <v>45959</v>
      </c>
      <c r="G247">
        <f t="shared" si="9"/>
        <v>0</v>
      </c>
      <c r="H247">
        <f>IF(AND(G247=1,D247&lt;Synthese!$B$3),1,0)</f>
        <v>0</v>
      </c>
      <c r="I247">
        <f t="shared" si="10"/>
        <v>0</v>
      </c>
      <c r="J247">
        <f t="shared" si="11"/>
        <v>0</v>
      </c>
    </row>
    <row r="248" spans="1:10" x14ac:dyDescent="0.25">
      <c r="A248" s="5" t="s">
        <v>1273</v>
      </c>
      <c r="B248" s="5" t="s">
        <v>299</v>
      </c>
      <c r="C248" s="12">
        <v>45939</v>
      </c>
      <c r="D248" s="12">
        <v>45969</v>
      </c>
      <c r="E248" s="6">
        <v>60180</v>
      </c>
      <c r="F248" s="12">
        <v>45984</v>
      </c>
      <c r="G248">
        <f t="shared" si="9"/>
        <v>0</v>
      </c>
      <c r="H248">
        <f>IF(AND(G248=1,D248&lt;Synthese!$B$3),1,0)</f>
        <v>0</v>
      </c>
      <c r="I248">
        <f t="shared" si="10"/>
        <v>0</v>
      </c>
      <c r="J248">
        <f t="shared" si="11"/>
        <v>0</v>
      </c>
    </row>
    <row r="249" spans="1:10" x14ac:dyDescent="0.25">
      <c r="A249" s="5" t="s">
        <v>1274</v>
      </c>
      <c r="B249" s="5" t="s">
        <v>299</v>
      </c>
      <c r="C249" s="12">
        <v>45977</v>
      </c>
      <c r="D249" s="12">
        <v>46022</v>
      </c>
      <c r="E249" s="6">
        <v>50150</v>
      </c>
      <c r="F249" s="12">
        <v>46025</v>
      </c>
      <c r="G249">
        <f t="shared" si="9"/>
        <v>0</v>
      </c>
      <c r="H249">
        <f>IF(AND(G249=1,D249&lt;Synthese!$B$3),1,0)</f>
        <v>0</v>
      </c>
      <c r="I249">
        <f t="shared" si="10"/>
        <v>0</v>
      </c>
      <c r="J249">
        <f t="shared" si="11"/>
        <v>0</v>
      </c>
    </row>
    <row r="250" spans="1:10" x14ac:dyDescent="0.25">
      <c r="A250" s="5" t="s">
        <v>1275</v>
      </c>
      <c r="B250" s="5" t="s">
        <v>302</v>
      </c>
      <c r="C250" s="12">
        <v>45738</v>
      </c>
      <c r="D250" s="12">
        <v>45768</v>
      </c>
      <c r="E250" s="6">
        <v>24600</v>
      </c>
      <c r="F250" s="12">
        <v>45772</v>
      </c>
      <c r="G250">
        <f t="shared" si="9"/>
        <v>0</v>
      </c>
      <c r="H250">
        <f>IF(AND(G250=1,D250&lt;Synthese!$B$3),1,0)</f>
        <v>0</v>
      </c>
      <c r="I250">
        <f t="shared" si="10"/>
        <v>0</v>
      </c>
      <c r="J250">
        <f t="shared" si="11"/>
        <v>0</v>
      </c>
    </row>
    <row r="251" spans="1:10" x14ac:dyDescent="0.25">
      <c r="A251" s="5" t="s">
        <v>1276</v>
      </c>
      <c r="B251" s="5" t="s">
        <v>302</v>
      </c>
      <c r="C251" s="12">
        <v>45785</v>
      </c>
      <c r="D251" s="12">
        <v>45830</v>
      </c>
      <c r="E251" s="6">
        <v>49200</v>
      </c>
      <c r="F251" s="12">
        <v>45831</v>
      </c>
      <c r="G251">
        <f t="shared" si="9"/>
        <v>0</v>
      </c>
      <c r="H251">
        <f>IF(AND(G251=1,D251&lt;Synthese!$B$3),1,0)</f>
        <v>0</v>
      </c>
      <c r="I251">
        <f t="shared" si="10"/>
        <v>0</v>
      </c>
      <c r="J251">
        <f t="shared" si="11"/>
        <v>0</v>
      </c>
    </row>
    <row r="252" spans="1:10" x14ac:dyDescent="0.25">
      <c r="A252" s="5" t="s">
        <v>1277</v>
      </c>
      <c r="B252" s="5" t="s">
        <v>302</v>
      </c>
      <c r="C252" s="12">
        <v>45829</v>
      </c>
      <c r="D252" s="12">
        <v>45874</v>
      </c>
      <c r="E252" s="6">
        <v>49200</v>
      </c>
      <c r="F252" s="12">
        <v>45898</v>
      </c>
      <c r="G252">
        <f t="shared" si="9"/>
        <v>0</v>
      </c>
      <c r="H252">
        <f>IF(AND(G252=1,D252&lt;Synthese!$B$3),1,0)</f>
        <v>0</v>
      </c>
      <c r="I252">
        <f t="shared" si="10"/>
        <v>0</v>
      </c>
      <c r="J252">
        <f t="shared" si="11"/>
        <v>0</v>
      </c>
    </row>
    <row r="253" spans="1:10" x14ac:dyDescent="0.25">
      <c r="A253" s="5" t="s">
        <v>1278</v>
      </c>
      <c r="B253" s="5" t="s">
        <v>302</v>
      </c>
      <c r="C253" s="12">
        <v>45882</v>
      </c>
      <c r="D253" s="12">
        <v>45912</v>
      </c>
      <c r="E253" s="6">
        <v>41000</v>
      </c>
      <c r="F253" s="12">
        <v>45915</v>
      </c>
      <c r="G253">
        <f t="shared" si="9"/>
        <v>0</v>
      </c>
      <c r="H253">
        <f>IF(AND(G253=1,D253&lt;Synthese!$B$3),1,0)</f>
        <v>0</v>
      </c>
      <c r="I253">
        <f t="shared" si="10"/>
        <v>0</v>
      </c>
      <c r="J253">
        <f t="shared" si="11"/>
        <v>0</v>
      </c>
    </row>
    <row r="254" spans="1:10" x14ac:dyDescent="0.25">
      <c r="A254" s="5" t="s">
        <v>1279</v>
      </c>
      <c r="B254" s="5" t="s">
        <v>305</v>
      </c>
      <c r="C254" s="12">
        <v>45912</v>
      </c>
      <c r="D254" s="12">
        <v>45942</v>
      </c>
      <c r="E254" s="6">
        <v>53535</v>
      </c>
      <c r="F254" s="12">
        <v>45955</v>
      </c>
      <c r="G254">
        <f t="shared" si="9"/>
        <v>0</v>
      </c>
      <c r="H254">
        <f>IF(AND(G254=1,D254&lt;Synthese!$B$3),1,0)</f>
        <v>0</v>
      </c>
      <c r="I254">
        <f t="shared" si="10"/>
        <v>0</v>
      </c>
      <c r="J254">
        <f t="shared" si="11"/>
        <v>0</v>
      </c>
    </row>
    <row r="255" spans="1:10" x14ac:dyDescent="0.25">
      <c r="A255" s="5" t="s">
        <v>1280</v>
      </c>
      <c r="B255" s="5" t="s">
        <v>305</v>
      </c>
      <c r="C255" s="12">
        <v>45968</v>
      </c>
      <c r="D255" s="12">
        <v>46013</v>
      </c>
      <c r="E255" s="6">
        <v>107070</v>
      </c>
      <c r="F255" s="12">
        <v>46015</v>
      </c>
      <c r="G255">
        <f t="shared" si="9"/>
        <v>0</v>
      </c>
      <c r="H255">
        <f>IF(AND(G255=1,D255&lt;Synthese!$B$3),1,0)</f>
        <v>0</v>
      </c>
      <c r="I255">
        <f t="shared" si="10"/>
        <v>0</v>
      </c>
      <c r="J255">
        <f t="shared" si="11"/>
        <v>0</v>
      </c>
    </row>
    <row r="256" spans="1:10" x14ac:dyDescent="0.25">
      <c r="A256" s="5" t="s">
        <v>1281</v>
      </c>
      <c r="B256" s="5" t="s">
        <v>305</v>
      </c>
      <c r="C256" s="12">
        <v>46010</v>
      </c>
      <c r="D256" s="12">
        <v>46040</v>
      </c>
      <c r="E256" s="6">
        <v>107070</v>
      </c>
      <c r="F256" s="12">
        <v>46043</v>
      </c>
      <c r="G256">
        <f t="shared" si="9"/>
        <v>0</v>
      </c>
      <c r="H256">
        <f>IF(AND(G256=1,D256&lt;Synthese!$B$3),1,0)</f>
        <v>0</v>
      </c>
      <c r="I256">
        <f t="shared" si="10"/>
        <v>0</v>
      </c>
      <c r="J256">
        <f t="shared" si="11"/>
        <v>0</v>
      </c>
    </row>
    <row r="257" spans="1:10" x14ac:dyDescent="0.25">
      <c r="A257" s="5" t="s">
        <v>1282</v>
      </c>
      <c r="B257" s="5" t="s">
        <v>305</v>
      </c>
      <c r="C257" s="12">
        <v>46022</v>
      </c>
      <c r="D257" s="12">
        <v>46052</v>
      </c>
      <c r="E257" s="6">
        <v>89225</v>
      </c>
      <c r="F257" s="12">
        <v>46050</v>
      </c>
      <c r="G257">
        <f t="shared" si="9"/>
        <v>0</v>
      </c>
      <c r="H257">
        <f>IF(AND(G257=1,D257&lt;Synthese!$B$3),1,0)</f>
        <v>0</v>
      </c>
      <c r="I257">
        <f t="shared" si="10"/>
        <v>0</v>
      </c>
      <c r="J257">
        <f t="shared" si="11"/>
        <v>0</v>
      </c>
    </row>
    <row r="258" spans="1:10" x14ac:dyDescent="0.25">
      <c r="A258" s="5" t="s">
        <v>1283</v>
      </c>
      <c r="B258" s="5" t="s">
        <v>308</v>
      </c>
      <c r="C258" s="12">
        <v>45808</v>
      </c>
      <c r="D258" s="12">
        <v>45868</v>
      </c>
      <c r="E258" s="6">
        <v>22200</v>
      </c>
      <c r="F258" s="12">
        <v>45870</v>
      </c>
      <c r="G258">
        <f t="shared" ref="G258:G321" si="12">IF(F258="",1,0)</f>
        <v>0</v>
      </c>
      <c r="H258">
        <f>IF(AND(G258=1,D258&lt;Synthese!$B$3),1,0)</f>
        <v>0</v>
      </c>
      <c r="I258">
        <f t="shared" ref="I258:I273" si="13">IF(G258=1,E258,0)</f>
        <v>0</v>
      </c>
      <c r="J258">
        <f t="shared" ref="J258:J273" si="14">IF(H258=1,E258,0)</f>
        <v>0</v>
      </c>
    </row>
    <row r="259" spans="1:10" x14ac:dyDescent="0.25">
      <c r="A259" s="5" t="s">
        <v>1284</v>
      </c>
      <c r="B259" s="5" t="s">
        <v>308</v>
      </c>
      <c r="C259" s="12">
        <v>45828</v>
      </c>
      <c r="D259" s="12">
        <v>45873</v>
      </c>
      <c r="E259" s="6">
        <v>44400</v>
      </c>
      <c r="F259" s="12">
        <v>45876</v>
      </c>
      <c r="G259">
        <f t="shared" si="12"/>
        <v>0</v>
      </c>
      <c r="H259">
        <f>IF(AND(G259=1,D259&lt;Synthese!$B$3),1,0)</f>
        <v>0</v>
      </c>
      <c r="I259">
        <f t="shared" si="13"/>
        <v>0</v>
      </c>
      <c r="J259">
        <f t="shared" si="14"/>
        <v>0</v>
      </c>
    </row>
    <row r="260" spans="1:10" x14ac:dyDescent="0.25">
      <c r="A260" s="5" t="s">
        <v>1285</v>
      </c>
      <c r="B260" s="5" t="s">
        <v>308</v>
      </c>
      <c r="C260" s="12">
        <v>45839</v>
      </c>
      <c r="D260" s="12">
        <v>45899</v>
      </c>
      <c r="E260" s="6">
        <v>44400</v>
      </c>
      <c r="F260" s="12">
        <v>45899</v>
      </c>
      <c r="G260">
        <f t="shared" si="12"/>
        <v>0</v>
      </c>
      <c r="H260">
        <f>IF(AND(G260=1,D260&lt;Synthese!$B$3),1,0)</f>
        <v>0</v>
      </c>
      <c r="I260">
        <f t="shared" si="13"/>
        <v>0</v>
      </c>
      <c r="J260">
        <f t="shared" si="14"/>
        <v>0</v>
      </c>
    </row>
    <row r="261" spans="1:10" x14ac:dyDescent="0.25">
      <c r="A261" s="5" t="s">
        <v>1286</v>
      </c>
      <c r="B261" s="5" t="s">
        <v>308</v>
      </c>
      <c r="C261" s="12">
        <v>45868</v>
      </c>
      <c r="D261" s="12">
        <v>45913</v>
      </c>
      <c r="E261" s="6">
        <v>37000</v>
      </c>
      <c r="F261" s="12"/>
      <c r="G261">
        <f t="shared" si="12"/>
        <v>1</v>
      </c>
      <c r="H261">
        <f>IF(AND(G261=1,D261&lt;Synthese!$B$3),1,0)</f>
        <v>1</v>
      </c>
      <c r="I261">
        <f t="shared" si="13"/>
        <v>37000</v>
      </c>
      <c r="J261">
        <f t="shared" si="14"/>
        <v>37000</v>
      </c>
    </row>
    <row r="262" spans="1:10" x14ac:dyDescent="0.25">
      <c r="A262" s="5" t="s">
        <v>1287</v>
      </c>
      <c r="B262" s="5" t="s">
        <v>311</v>
      </c>
      <c r="C262" s="12">
        <v>45698</v>
      </c>
      <c r="D262" s="12">
        <v>45728</v>
      </c>
      <c r="E262" s="6">
        <v>44715</v>
      </c>
      <c r="F262" s="12">
        <v>45740</v>
      </c>
      <c r="G262">
        <f t="shared" si="12"/>
        <v>0</v>
      </c>
      <c r="H262">
        <f>IF(AND(G262=1,D262&lt;Synthese!$B$3),1,0)</f>
        <v>0</v>
      </c>
      <c r="I262">
        <f t="shared" si="13"/>
        <v>0</v>
      </c>
      <c r="J262">
        <f t="shared" si="14"/>
        <v>0</v>
      </c>
    </row>
    <row r="263" spans="1:10" x14ac:dyDescent="0.25">
      <c r="A263" s="5" t="s">
        <v>1288</v>
      </c>
      <c r="B263" s="5" t="s">
        <v>311</v>
      </c>
      <c r="C263" s="12">
        <v>45737</v>
      </c>
      <c r="D263" s="12">
        <v>45767</v>
      </c>
      <c r="E263" s="6">
        <v>89430</v>
      </c>
      <c r="F263" s="12">
        <v>45789</v>
      </c>
      <c r="G263">
        <f t="shared" si="12"/>
        <v>0</v>
      </c>
      <c r="H263">
        <f>IF(AND(G263=1,D263&lt;Synthese!$B$3),1,0)</f>
        <v>0</v>
      </c>
      <c r="I263">
        <f t="shared" si="13"/>
        <v>0</v>
      </c>
      <c r="J263">
        <f t="shared" si="14"/>
        <v>0</v>
      </c>
    </row>
    <row r="264" spans="1:10" x14ac:dyDescent="0.25">
      <c r="A264" s="5" t="s">
        <v>1289</v>
      </c>
      <c r="B264" s="5" t="s">
        <v>311</v>
      </c>
      <c r="C264" s="12">
        <v>45780</v>
      </c>
      <c r="D264" s="12">
        <v>45825</v>
      </c>
      <c r="E264" s="6">
        <v>89430</v>
      </c>
      <c r="F264" s="12">
        <v>45847</v>
      </c>
      <c r="G264">
        <f t="shared" si="12"/>
        <v>0</v>
      </c>
      <c r="H264">
        <f>IF(AND(G264=1,D264&lt;Synthese!$B$3),1,0)</f>
        <v>0</v>
      </c>
      <c r="I264">
        <f t="shared" si="13"/>
        <v>0</v>
      </c>
      <c r="J264">
        <f t="shared" si="14"/>
        <v>0</v>
      </c>
    </row>
    <row r="265" spans="1:10" x14ac:dyDescent="0.25">
      <c r="A265" s="5" t="s">
        <v>1290</v>
      </c>
      <c r="B265" s="5" t="s">
        <v>311</v>
      </c>
      <c r="C265" s="12">
        <v>45835</v>
      </c>
      <c r="D265" s="12">
        <v>45880</v>
      </c>
      <c r="E265" s="6">
        <v>74525</v>
      </c>
      <c r="F265" s="12">
        <v>45892</v>
      </c>
      <c r="G265">
        <f t="shared" si="12"/>
        <v>0</v>
      </c>
      <c r="H265">
        <f>IF(AND(G265=1,D265&lt;Synthese!$B$3),1,0)</f>
        <v>0</v>
      </c>
      <c r="I265">
        <f t="shared" si="13"/>
        <v>0</v>
      </c>
      <c r="J265">
        <f t="shared" si="14"/>
        <v>0</v>
      </c>
    </row>
    <row r="266" spans="1:10" x14ac:dyDescent="0.25">
      <c r="A266" s="5" t="s">
        <v>1291</v>
      </c>
      <c r="B266" s="5" t="s">
        <v>313</v>
      </c>
      <c r="C266" s="12">
        <v>45907</v>
      </c>
      <c r="D266" s="12">
        <v>45952</v>
      </c>
      <c r="E266" s="6">
        <v>27075</v>
      </c>
      <c r="F266" s="12">
        <v>45955</v>
      </c>
      <c r="G266">
        <f t="shared" si="12"/>
        <v>0</v>
      </c>
      <c r="H266">
        <f>IF(AND(G266=1,D266&lt;Synthese!$B$3),1,0)</f>
        <v>0</v>
      </c>
      <c r="I266">
        <f t="shared" si="13"/>
        <v>0</v>
      </c>
      <c r="J266">
        <f t="shared" si="14"/>
        <v>0</v>
      </c>
    </row>
    <row r="267" spans="1:10" x14ac:dyDescent="0.25">
      <c r="A267" s="5" t="s">
        <v>1292</v>
      </c>
      <c r="B267" s="5" t="s">
        <v>313</v>
      </c>
      <c r="C267" s="12">
        <v>45930</v>
      </c>
      <c r="D267" s="12">
        <v>45960</v>
      </c>
      <c r="E267" s="6">
        <v>54150</v>
      </c>
      <c r="F267" s="12">
        <v>45969</v>
      </c>
      <c r="G267">
        <f t="shared" si="12"/>
        <v>0</v>
      </c>
      <c r="H267">
        <f>IF(AND(G267=1,D267&lt;Synthese!$B$3),1,0)</f>
        <v>0</v>
      </c>
      <c r="I267">
        <f t="shared" si="13"/>
        <v>0</v>
      </c>
      <c r="J267">
        <f t="shared" si="14"/>
        <v>0</v>
      </c>
    </row>
    <row r="268" spans="1:10" x14ac:dyDescent="0.25">
      <c r="A268" s="5" t="s">
        <v>1293</v>
      </c>
      <c r="B268" s="5" t="s">
        <v>313</v>
      </c>
      <c r="C268" s="12">
        <v>45950</v>
      </c>
      <c r="D268" s="12">
        <v>45995</v>
      </c>
      <c r="E268" s="6">
        <v>54150</v>
      </c>
      <c r="F268" s="12">
        <v>45992</v>
      </c>
      <c r="G268">
        <f t="shared" si="12"/>
        <v>0</v>
      </c>
      <c r="H268">
        <f>IF(AND(G268=1,D268&lt;Synthese!$B$3),1,0)</f>
        <v>0</v>
      </c>
      <c r="I268">
        <f t="shared" si="13"/>
        <v>0</v>
      </c>
      <c r="J268">
        <f t="shared" si="14"/>
        <v>0</v>
      </c>
    </row>
    <row r="269" spans="1:10" x14ac:dyDescent="0.25">
      <c r="A269" s="5" t="s">
        <v>1294</v>
      </c>
      <c r="B269" s="5" t="s">
        <v>313</v>
      </c>
      <c r="C269" s="12">
        <v>45955</v>
      </c>
      <c r="D269" s="12">
        <v>45985</v>
      </c>
      <c r="E269" s="6">
        <v>45125</v>
      </c>
      <c r="F269" s="12">
        <v>45985</v>
      </c>
      <c r="G269">
        <f t="shared" si="12"/>
        <v>0</v>
      </c>
      <c r="H269">
        <f>IF(AND(G269=1,D269&lt;Synthese!$B$3),1,0)</f>
        <v>0</v>
      </c>
      <c r="I269">
        <f t="shared" si="13"/>
        <v>0</v>
      </c>
      <c r="J269">
        <f t="shared" si="14"/>
        <v>0</v>
      </c>
    </row>
    <row r="270" spans="1:10" x14ac:dyDescent="0.25">
      <c r="A270" s="5" t="s">
        <v>1295</v>
      </c>
      <c r="B270" s="5" t="s">
        <v>316</v>
      </c>
      <c r="C270" s="12">
        <v>45799</v>
      </c>
      <c r="D270" s="12">
        <v>45859</v>
      </c>
      <c r="E270" s="6">
        <v>46200</v>
      </c>
      <c r="F270" s="12">
        <v>45894</v>
      </c>
      <c r="G270">
        <f t="shared" si="12"/>
        <v>0</v>
      </c>
      <c r="H270">
        <f>IF(AND(G270=1,D270&lt;Synthese!$B$3),1,0)</f>
        <v>0</v>
      </c>
      <c r="I270">
        <f t="shared" si="13"/>
        <v>0</v>
      </c>
      <c r="J270">
        <f t="shared" si="14"/>
        <v>0</v>
      </c>
    </row>
    <row r="271" spans="1:10" x14ac:dyDescent="0.25">
      <c r="A271" s="5" t="s">
        <v>1296</v>
      </c>
      <c r="B271" s="5" t="s">
        <v>316</v>
      </c>
      <c r="C271" s="12">
        <v>45845</v>
      </c>
      <c r="D271" s="12">
        <v>45905</v>
      </c>
      <c r="E271" s="6">
        <v>92400</v>
      </c>
      <c r="F271" s="12">
        <v>45909</v>
      </c>
      <c r="G271">
        <f t="shared" si="12"/>
        <v>0</v>
      </c>
      <c r="H271">
        <f>IF(AND(G271=1,D271&lt;Synthese!$B$3),1,0)</f>
        <v>0</v>
      </c>
      <c r="I271">
        <f t="shared" si="13"/>
        <v>0</v>
      </c>
      <c r="J271">
        <f t="shared" si="14"/>
        <v>0</v>
      </c>
    </row>
    <row r="272" spans="1:10" x14ac:dyDescent="0.25">
      <c r="A272" s="5" t="s">
        <v>1297</v>
      </c>
      <c r="B272" s="5" t="s">
        <v>316</v>
      </c>
      <c r="C272" s="12">
        <v>45889</v>
      </c>
      <c r="D272" s="12">
        <v>45934</v>
      </c>
      <c r="E272" s="6">
        <v>92400</v>
      </c>
      <c r="F272" s="12">
        <v>45938</v>
      </c>
      <c r="G272">
        <f t="shared" si="12"/>
        <v>0</v>
      </c>
      <c r="H272">
        <f>IF(AND(G272=1,D272&lt;Synthese!$B$3),1,0)</f>
        <v>0</v>
      </c>
      <c r="I272">
        <f t="shared" si="13"/>
        <v>0</v>
      </c>
      <c r="J272">
        <f t="shared" si="14"/>
        <v>0</v>
      </c>
    </row>
    <row r="273" spans="1:10" x14ac:dyDescent="0.25">
      <c r="A273" s="5" t="s">
        <v>1298</v>
      </c>
      <c r="B273" s="5" t="s">
        <v>316</v>
      </c>
      <c r="C273" s="12">
        <v>45920</v>
      </c>
      <c r="D273" s="12">
        <v>45965</v>
      </c>
      <c r="E273" s="6">
        <v>77000</v>
      </c>
      <c r="F273" s="12">
        <v>45969</v>
      </c>
      <c r="G273">
        <f t="shared" si="12"/>
        <v>0</v>
      </c>
      <c r="H273">
        <f>IF(AND(G273=1,D273&lt;Synthese!$B$3),1,0)</f>
        <v>0</v>
      </c>
      <c r="I273">
        <f t="shared" si="13"/>
        <v>0</v>
      </c>
      <c r="J273">
        <f t="shared" si="1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workbookViewId="0"/>
  </sheetViews>
  <sheetFormatPr baseColWidth="10" defaultColWidth="9.140625" defaultRowHeight="15" x14ac:dyDescent="0.25"/>
  <cols>
    <col min="1" max="1" width="16" customWidth="1"/>
    <col min="2" max="2" width="18" customWidth="1"/>
    <col min="3" max="3" width="40" customWidth="1"/>
    <col min="4" max="4" width="28" customWidth="1"/>
  </cols>
  <sheetData>
    <row r="1" spans="1:4" x14ac:dyDescent="0.25">
      <c r="A1" s="11" t="s">
        <v>1299</v>
      </c>
      <c r="B1" s="11" t="s">
        <v>1300</v>
      </c>
      <c r="C1" s="11" t="s">
        <v>1301</v>
      </c>
      <c r="D1" s="11" t="s">
        <v>1302</v>
      </c>
    </row>
    <row r="2" spans="1:4" x14ac:dyDescent="0.25">
      <c r="A2" s="5" t="s">
        <v>1303</v>
      </c>
      <c r="B2" s="5" t="s">
        <v>32</v>
      </c>
      <c r="C2" s="5" t="s">
        <v>1304</v>
      </c>
      <c r="D2" s="5" t="s">
        <v>1305</v>
      </c>
    </row>
    <row r="3" spans="1:4" x14ac:dyDescent="0.25">
      <c r="A3" s="5" t="s">
        <v>1303</v>
      </c>
      <c r="B3" s="5" t="s">
        <v>33</v>
      </c>
      <c r="C3" s="5" t="s">
        <v>1306</v>
      </c>
      <c r="D3" s="5" t="s">
        <v>1307</v>
      </c>
    </row>
    <row r="4" spans="1:4" x14ac:dyDescent="0.25">
      <c r="A4" s="5" t="s">
        <v>1303</v>
      </c>
      <c r="B4" s="5" t="s">
        <v>34</v>
      </c>
      <c r="C4" s="5" t="s">
        <v>1308</v>
      </c>
      <c r="D4" s="5" t="s">
        <v>1309</v>
      </c>
    </row>
    <row r="5" spans="1:4" x14ac:dyDescent="0.25">
      <c r="A5" s="5" t="s">
        <v>1303</v>
      </c>
      <c r="B5" s="5" t="s">
        <v>35</v>
      </c>
      <c r="C5" s="5" t="s">
        <v>1310</v>
      </c>
      <c r="D5" s="5" t="s">
        <v>1311</v>
      </c>
    </row>
    <row r="6" spans="1:4" x14ac:dyDescent="0.25">
      <c r="A6" s="5" t="s">
        <v>1303</v>
      </c>
      <c r="B6" s="5" t="s">
        <v>36</v>
      </c>
      <c r="C6" s="5" t="s">
        <v>1312</v>
      </c>
      <c r="D6" s="5" t="s">
        <v>1313</v>
      </c>
    </row>
    <row r="7" spans="1:4" x14ac:dyDescent="0.25">
      <c r="A7" s="5" t="s">
        <v>1303</v>
      </c>
      <c r="B7" s="5" t="s">
        <v>37</v>
      </c>
      <c r="C7" s="5" t="s">
        <v>1314</v>
      </c>
      <c r="D7" s="5" t="s">
        <v>1315</v>
      </c>
    </row>
    <row r="8" spans="1:4" x14ac:dyDescent="0.25">
      <c r="A8" s="5" t="s">
        <v>1303</v>
      </c>
      <c r="B8" s="5" t="s">
        <v>38</v>
      </c>
      <c r="C8" s="5" t="s">
        <v>1316</v>
      </c>
      <c r="D8" s="5" t="s">
        <v>1317</v>
      </c>
    </row>
    <row r="9" spans="1:4" x14ac:dyDescent="0.25">
      <c r="A9" s="5" t="s">
        <v>1303</v>
      </c>
      <c r="B9" s="5" t="s">
        <v>39</v>
      </c>
      <c r="C9" s="5" t="s">
        <v>1318</v>
      </c>
      <c r="D9" s="5" t="s">
        <v>1319</v>
      </c>
    </row>
    <row r="10" spans="1:4" x14ac:dyDescent="0.25">
      <c r="A10" s="5" t="s">
        <v>1303</v>
      </c>
      <c r="B10" s="5" t="s">
        <v>40</v>
      </c>
      <c r="C10" s="5" t="s">
        <v>1320</v>
      </c>
      <c r="D10" s="5" t="s">
        <v>1321</v>
      </c>
    </row>
    <row r="11" spans="1:4" x14ac:dyDescent="0.25">
      <c r="A11" s="5" t="s">
        <v>1303</v>
      </c>
      <c r="B11" s="5" t="s">
        <v>41</v>
      </c>
      <c r="C11" s="5" t="s">
        <v>1322</v>
      </c>
      <c r="D11" s="5" t="s">
        <v>1321</v>
      </c>
    </row>
    <row r="12" spans="1:4" x14ac:dyDescent="0.25">
      <c r="A12" s="5" t="s">
        <v>1303</v>
      </c>
      <c r="B12" s="5" t="s">
        <v>42</v>
      </c>
      <c r="C12" s="5" t="s">
        <v>1323</v>
      </c>
      <c r="D12" s="5" t="s">
        <v>1324</v>
      </c>
    </row>
    <row r="13" spans="1:4" x14ac:dyDescent="0.25">
      <c r="A13" s="5" t="s">
        <v>1303</v>
      </c>
      <c r="B13" s="5" t="s">
        <v>43</v>
      </c>
      <c r="C13" s="5" t="s">
        <v>1325</v>
      </c>
      <c r="D13" s="5" t="s">
        <v>1326</v>
      </c>
    </row>
    <row r="14" spans="1:4" x14ac:dyDescent="0.25">
      <c r="A14" s="5" t="s">
        <v>1327</v>
      </c>
      <c r="B14" s="5" t="s">
        <v>318</v>
      </c>
      <c r="C14" s="5" t="s">
        <v>1328</v>
      </c>
      <c r="D14" s="5" t="s">
        <v>1329</v>
      </c>
    </row>
    <row r="15" spans="1:4" x14ac:dyDescent="0.25">
      <c r="A15" s="5" t="s">
        <v>1327</v>
      </c>
      <c r="B15" s="5" t="s">
        <v>32</v>
      </c>
      <c r="C15" s="5" t="s">
        <v>1330</v>
      </c>
      <c r="D15" s="5" t="s">
        <v>1331</v>
      </c>
    </row>
    <row r="16" spans="1:4" x14ac:dyDescent="0.25">
      <c r="A16" s="5" t="s">
        <v>1327</v>
      </c>
      <c r="B16" s="5" t="s">
        <v>319</v>
      </c>
      <c r="C16" s="5" t="s">
        <v>1332</v>
      </c>
      <c r="D16" s="5" t="s">
        <v>1333</v>
      </c>
    </row>
    <row r="17" spans="1:4" x14ac:dyDescent="0.25">
      <c r="A17" s="5" t="s">
        <v>1327</v>
      </c>
      <c r="B17" s="5" t="s">
        <v>320</v>
      </c>
      <c r="C17" s="5" t="s">
        <v>1334</v>
      </c>
      <c r="D17" s="5" t="s">
        <v>1335</v>
      </c>
    </row>
    <row r="18" spans="1:4" x14ac:dyDescent="0.25">
      <c r="A18" s="5" t="s">
        <v>1327</v>
      </c>
      <c r="B18" s="5" t="s">
        <v>321</v>
      </c>
      <c r="C18" s="5" t="s">
        <v>1336</v>
      </c>
      <c r="D18" s="5" t="s">
        <v>1337</v>
      </c>
    </row>
    <row r="19" spans="1:4" x14ac:dyDescent="0.25">
      <c r="A19" s="5" t="s">
        <v>1338</v>
      </c>
      <c r="B19" s="5" t="s">
        <v>1019</v>
      </c>
      <c r="C19" s="5" t="s">
        <v>1339</v>
      </c>
      <c r="D19" s="5" t="s">
        <v>1329</v>
      </c>
    </row>
    <row r="20" spans="1:4" x14ac:dyDescent="0.25">
      <c r="A20" s="5" t="s">
        <v>1338</v>
      </c>
      <c r="B20" s="5" t="s">
        <v>32</v>
      </c>
      <c r="C20" s="5" t="s">
        <v>1330</v>
      </c>
      <c r="D20" s="5" t="s">
        <v>1331</v>
      </c>
    </row>
    <row r="21" spans="1:4" x14ac:dyDescent="0.25">
      <c r="A21" s="5" t="s">
        <v>1338</v>
      </c>
      <c r="B21" s="5" t="s">
        <v>1020</v>
      </c>
      <c r="C21" s="5" t="s">
        <v>1340</v>
      </c>
      <c r="D21" s="5" t="s">
        <v>1341</v>
      </c>
    </row>
    <row r="22" spans="1:4" x14ac:dyDescent="0.25">
      <c r="A22" s="5" t="s">
        <v>1338</v>
      </c>
      <c r="B22" s="5" t="s">
        <v>1021</v>
      </c>
      <c r="C22" s="5" t="s">
        <v>1342</v>
      </c>
      <c r="D22" s="5" t="s">
        <v>1343</v>
      </c>
    </row>
    <row r="23" spans="1:4" x14ac:dyDescent="0.25">
      <c r="A23" s="5" t="s">
        <v>1338</v>
      </c>
      <c r="B23" s="5" t="s">
        <v>321</v>
      </c>
      <c r="C23" s="5" t="s">
        <v>1344</v>
      </c>
      <c r="D23" s="5" t="s">
        <v>1345</v>
      </c>
    </row>
    <row r="24" spans="1:4" x14ac:dyDescent="0.25">
      <c r="A24" s="5" t="s">
        <v>1338</v>
      </c>
      <c r="B24" s="5" t="s">
        <v>1022</v>
      </c>
      <c r="C24" s="5" t="s">
        <v>1346</v>
      </c>
      <c r="D24" s="5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Synthese</vt:lpstr>
      <vt:lpstr>Chantiers</vt:lpstr>
      <vt:lpstr>Couts</vt:lpstr>
      <vt:lpstr>Factures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 Metz</cp:lastModifiedBy>
  <dcterms:modified xsi:type="dcterms:W3CDTF">2026-03-23T16:15:54Z</dcterms:modified>
</cp:coreProperties>
</file>